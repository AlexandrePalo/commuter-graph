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PDESK01\apalo\Documents\z Perso\Projets\Commuter\"/>
    </mc:Choice>
  </mc:AlternateContent>
  <bookViews>
    <workbookView xWindow="0" yWindow="0" windowWidth="20490" windowHeight="7245" activeTab="1"/>
  </bookViews>
  <sheets>
    <sheet name="DETAILED_STOPS" sheetId="1" r:id="rId1"/>
    <sheet name="EXPORTED" sheetId="9" r:id="rId2"/>
    <sheet name="LINK_COUPLES" sheetId="6" r:id="rId3"/>
    <sheet name="GROUPED_STOPS" sheetId="5" r:id="rId4"/>
    <sheet name="ADJACENT_MATRIX" sheetId="7" r:id="rId5"/>
    <sheet name="ADJACENT_MATRIX_REDUCED" sheetId="8" r:id="rId6"/>
    <sheet name="CHECKS" sheetId="4" r:id="rId7"/>
    <sheet name="UTILS" sheetId="2" r:id="rId8"/>
  </sheets>
  <definedNames>
    <definedName name="_xlnm._FilterDatabase" localSheetId="0" hidden="1">DETAILED_STOPS!$A$1:$R$1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33" i="1" l="1"/>
  <c r="Q633" i="1"/>
  <c r="P632" i="1"/>
  <c r="Q632" i="1"/>
  <c r="P664" i="1"/>
  <c r="Q664" i="1"/>
  <c r="P656" i="1"/>
  <c r="Q656" i="1"/>
  <c r="P641" i="1"/>
  <c r="Q641" i="1"/>
  <c r="P657" i="1"/>
  <c r="Q657" i="1"/>
  <c r="P658" i="1"/>
  <c r="Q658" i="1"/>
  <c r="P674" i="1"/>
  <c r="Q674" i="1"/>
  <c r="P648" i="1"/>
  <c r="Q648" i="1"/>
  <c r="P653" i="1"/>
  <c r="Q653" i="1"/>
  <c r="P677" i="1"/>
  <c r="Q677" i="1"/>
  <c r="P652" i="1"/>
  <c r="Q652" i="1"/>
  <c r="P643" i="1"/>
  <c r="Q643" i="1"/>
  <c r="P665" i="1"/>
  <c r="Q665" i="1"/>
  <c r="P660" i="1"/>
  <c r="Q660" i="1"/>
  <c r="P647" i="1"/>
  <c r="Q647" i="1"/>
  <c r="P654" i="1"/>
  <c r="Q654" i="1"/>
  <c r="P676" i="1"/>
  <c r="Q676" i="1"/>
  <c r="P645" i="1"/>
  <c r="Q645" i="1"/>
  <c r="P663" i="1"/>
  <c r="Q663" i="1"/>
  <c r="P675" i="1"/>
  <c r="Q675" i="1"/>
  <c r="P646" i="1"/>
  <c r="Q646" i="1"/>
  <c r="P655" i="1"/>
  <c r="Q655" i="1"/>
  <c r="P642" i="1"/>
  <c r="Q642" i="1"/>
  <c r="P644" i="1"/>
  <c r="Q644" i="1"/>
  <c r="P672" i="1"/>
  <c r="Q672" i="1"/>
  <c r="P666" i="1"/>
  <c r="Q666" i="1"/>
  <c r="P671" i="1"/>
  <c r="Q671" i="1"/>
  <c r="P650" i="1"/>
  <c r="Q650" i="1"/>
  <c r="P668" i="1"/>
  <c r="Q668" i="1"/>
  <c r="P667" i="1"/>
  <c r="Q667" i="1"/>
  <c r="P637" i="1"/>
  <c r="Q637" i="1"/>
  <c r="P673" i="1"/>
  <c r="Q673" i="1"/>
  <c r="P669" i="1"/>
  <c r="Q669" i="1"/>
  <c r="P670" i="1"/>
  <c r="Q670" i="1"/>
  <c r="P662" i="1"/>
  <c r="Q662" i="1"/>
  <c r="P634" i="1"/>
  <c r="Q634" i="1"/>
  <c r="P651" i="1"/>
  <c r="Q651" i="1"/>
  <c r="P661" i="1"/>
  <c r="Q661" i="1"/>
  <c r="P649" i="1"/>
  <c r="Q649" i="1"/>
  <c r="P678" i="1"/>
  <c r="Q678" i="1"/>
  <c r="P659" i="1"/>
  <c r="Q659" i="1"/>
  <c r="P636" i="1"/>
  <c r="Q636" i="1"/>
  <c r="P640" i="1"/>
  <c r="Q640" i="1"/>
  <c r="P639" i="1"/>
  <c r="Q639" i="1"/>
  <c r="P638" i="1"/>
  <c r="Q638" i="1"/>
  <c r="P635" i="1"/>
  <c r="Q635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G669" i="1"/>
  <c r="G670" i="1"/>
  <c r="G671" i="1"/>
  <c r="G672" i="1"/>
  <c r="G673" i="1"/>
  <c r="G674" i="1"/>
  <c r="G675" i="1"/>
  <c r="G676" i="1"/>
  <c r="G677" i="1"/>
  <c r="G678" i="1"/>
  <c r="G668" i="1"/>
  <c r="G634" i="1" l="1"/>
  <c r="F29" i="4"/>
  <c r="F30" i="4"/>
  <c r="F31" i="4"/>
  <c r="F32" i="4"/>
  <c r="C29" i="4"/>
  <c r="D29" i="4" s="1"/>
  <c r="C30" i="4"/>
  <c r="D30" i="4" s="1"/>
  <c r="C31" i="4"/>
  <c r="D31" i="4" s="1"/>
  <c r="C32" i="4"/>
  <c r="D32" i="4" s="1"/>
  <c r="P593" i="1"/>
  <c r="Q593" i="1"/>
  <c r="P591" i="1"/>
  <c r="Q591" i="1"/>
  <c r="P607" i="1"/>
  <c r="Q607" i="1"/>
  <c r="P631" i="1"/>
  <c r="Q631" i="1"/>
  <c r="P614" i="1"/>
  <c r="Q614" i="1"/>
  <c r="P620" i="1"/>
  <c r="Q620" i="1"/>
  <c r="P586" i="1"/>
  <c r="Q586" i="1"/>
  <c r="P588" i="1"/>
  <c r="Q588" i="1"/>
  <c r="P587" i="1"/>
  <c r="Q587" i="1"/>
  <c r="P628" i="1"/>
  <c r="Q628" i="1"/>
  <c r="P606" i="1"/>
  <c r="Q606" i="1"/>
  <c r="P608" i="1"/>
  <c r="Q608" i="1"/>
  <c r="P600" i="1"/>
  <c r="Q600" i="1"/>
  <c r="P590" i="1"/>
  <c r="Q590" i="1"/>
  <c r="P623" i="1"/>
  <c r="Q623" i="1"/>
  <c r="P609" i="1"/>
  <c r="Q609" i="1"/>
  <c r="P596" i="1"/>
  <c r="Q596" i="1"/>
  <c r="P625" i="1"/>
  <c r="Q625" i="1"/>
  <c r="P605" i="1"/>
  <c r="Q605" i="1"/>
  <c r="P629" i="1"/>
  <c r="Q629" i="1"/>
  <c r="P627" i="1"/>
  <c r="Q627" i="1"/>
  <c r="P599" i="1"/>
  <c r="Q599" i="1"/>
  <c r="P598" i="1"/>
  <c r="Q598" i="1"/>
  <c r="P618" i="1"/>
  <c r="Q618" i="1"/>
  <c r="P594" i="1"/>
  <c r="Q594" i="1"/>
  <c r="P622" i="1"/>
  <c r="Q622" i="1"/>
  <c r="P604" i="1"/>
  <c r="Q604" i="1"/>
  <c r="P603" i="1"/>
  <c r="Q603" i="1"/>
  <c r="P602" i="1"/>
  <c r="Q602" i="1"/>
  <c r="P610" i="1"/>
  <c r="Q610" i="1"/>
  <c r="P613" i="1"/>
  <c r="Q613" i="1"/>
  <c r="P589" i="1"/>
  <c r="Q589" i="1"/>
  <c r="P624" i="1"/>
  <c r="Q624" i="1"/>
  <c r="P617" i="1"/>
  <c r="Q617" i="1"/>
  <c r="P616" i="1"/>
  <c r="Q616" i="1"/>
  <c r="P615" i="1"/>
  <c r="Q615" i="1"/>
  <c r="P592" i="1"/>
  <c r="Q592" i="1"/>
  <c r="P601" i="1"/>
  <c r="Q601" i="1"/>
  <c r="P597" i="1"/>
  <c r="Q597" i="1"/>
  <c r="P626" i="1"/>
  <c r="Q626" i="1"/>
  <c r="P595" i="1"/>
  <c r="Q595" i="1"/>
  <c r="P630" i="1"/>
  <c r="Q630" i="1"/>
  <c r="P619" i="1"/>
  <c r="Q619" i="1"/>
  <c r="P612" i="1"/>
  <c r="Q612" i="1"/>
  <c r="P621" i="1"/>
  <c r="Q621" i="1"/>
  <c r="P611" i="1"/>
  <c r="Q611" i="1"/>
  <c r="N593" i="1"/>
  <c r="N591" i="1"/>
  <c r="N607" i="1"/>
  <c r="N631" i="1"/>
  <c r="N614" i="1"/>
  <c r="N620" i="1"/>
  <c r="N586" i="1"/>
  <c r="N588" i="1"/>
  <c r="N587" i="1"/>
  <c r="N628" i="1"/>
  <c r="N606" i="1"/>
  <c r="N608" i="1"/>
  <c r="N600" i="1"/>
  <c r="N590" i="1"/>
  <c r="N623" i="1"/>
  <c r="N609" i="1"/>
  <c r="N596" i="1"/>
  <c r="N625" i="1"/>
  <c r="N605" i="1"/>
  <c r="N629" i="1"/>
  <c r="N627" i="1"/>
  <c r="N599" i="1"/>
  <c r="N598" i="1"/>
  <c r="N618" i="1"/>
  <c r="N594" i="1"/>
  <c r="N622" i="1"/>
  <c r="N604" i="1"/>
  <c r="N603" i="1"/>
  <c r="N602" i="1"/>
  <c r="N610" i="1"/>
  <c r="N613" i="1"/>
  <c r="N589" i="1"/>
  <c r="N624" i="1"/>
  <c r="N617" i="1"/>
  <c r="N616" i="1"/>
  <c r="N615" i="1"/>
  <c r="N592" i="1"/>
  <c r="N601" i="1"/>
  <c r="N597" i="1"/>
  <c r="N626" i="1"/>
  <c r="N595" i="1"/>
  <c r="N630" i="1"/>
  <c r="N619" i="1"/>
  <c r="N612" i="1"/>
  <c r="N621" i="1"/>
  <c r="N611" i="1"/>
  <c r="C28" i="4"/>
  <c r="D28" i="4" s="1"/>
  <c r="F28" i="4"/>
  <c r="O587" i="1" l="1"/>
  <c r="O627" i="1"/>
  <c r="O624" i="1"/>
  <c r="O621" i="1"/>
  <c r="O628" i="1"/>
  <c r="O599" i="1"/>
  <c r="O617" i="1"/>
  <c r="O611" i="1"/>
  <c r="O606" i="1"/>
  <c r="O598" i="1"/>
  <c r="O616" i="1"/>
  <c r="O589" i="1"/>
  <c r="O608" i="1"/>
  <c r="O618" i="1"/>
  <c r="O615" i="1"/>
  <c r="O629" i="1"/>
  <c r="O593" i="1"/>
  <c r="O600" i="1"/>
  <c r="O594" i="1"/>
  <c r="O592" i="1"/>
  <c r="O591" i="1"/>
  <c r="O590" i="1"/>
  <c r="O622" i="1"/>
  <c r="O601" i="1"/>
  <c r="O607" i="1"/>
  <c r="O623" i="1"/>
  <c r="O604" i="1"/>
  <c r="O597" i="1"/>
  <c r="O612" i="1"/>
  <c r="O631" i="1"/>
  <c r="O609" i="1"/>
  <c r="O603" i="1"/>
  <c r="O626" i="1"/>
  <c r="O588" i="1"/>
  <c r="O614" i="1"/>
  <c r="O596" i="1"/>
  <c r="O602" i="1"/>
  <c r="O595" i="1"/>
  <c r="O620" i="1"/>
  <c r="O625" i="1"/>
  <c r="O610" i="1"/>
  <c r="O630" i="1"/>
  <c r="O586" i="1"/>
  <c r="O605" i="1"/>
  <c r="O613" i="1"/>
  <c r="O619" i="1"/>
  <c r="O632" i="1"/>
  <c r="O665" i="1"/>
  <c r="O672" i="1"/>
  <c r="O651" i="1"/>
  <c r="O643" i="1"/>
  <c r="O664" i="1"/>
  <c r="O660" i="1"/>
  <c r="O666" i="1"/>
  <c r="O661" i="1"/>
  <c r="O656" i="1"/>
  <c r="O647" i="1"/>
  <c r="O671" i="1"/>
  <c r="O649" i="1"/>
  <c r="O641" i="1"/>
  <c r="O654" i="1"/>
  <c r="O650" i="1"/>
  <c r="O678" i="1"/>
  <c r="O657" i="1"/>
  <c r="O676" i="1"/>
  <c r="O668" i="1"/>
  <c r="O659" i="1"/>
  <c r="O658" i="1"/>
  <c r="O645" i="1"/>
  <c r="O667" i="1"/>
  <c r="O636" i="1"/>
  <c r="O634" i="1"/>
  <c r="O674" i="1"/>
  <c r="O663" i="1"/>
  <c r="O637" i="1"/>
  <c r="O640" i="1"/>
  <c r="O644" i="1"/>
  <c r="O648" i="1"/>
  <c r="O675" i="1"/>
  <c r="O673" i="1"/>
  <c r="O639" i="1"/>
  <c r="O653" i="1"/>
  <c r="O646" i="1"/>
  <c r="O669" i="1"/>
  <c r="O638" i="1"/>
  <c r="O633" i="1"/>
  <c r="O677" i="1"/>
  <c r="O655" i="1"/>
  <c r="O670" i="1"/>
  <c r="O635" i="1"/>
  <c r="O652" i="1"/>
  <c r="O642" i="1"/>
  <c r="O662" i="1"/>
  <c r="G650" i="1"/>
  <c r="G644" i="1"/>
  <c r="G640" i="1"/>
  <c r="G664" i="1"/>
  <c r="G656" i="1"/>
  <c r="G652" i="1"/>
  <c r="G638" i="1"/>
  <c r="G657" i="1"/>
  <c r="G633" i="1"/>
  <c r="G632" i="1"/>
  <c r="G667" i="1"/>
  <c r="G655" i="1"/>
  <c r="G643" i="1"/>
  <c r="G666" i="1"/>
  <c r="G654" i="1"/>
  <c r="G642" i="1"/>
  <c r="G665" i="1"/>
  <c r="G653" i="1"/>
  <c r="G641" i="1"/>
  <c r="G648" i="1"/>
  <c r="G651" i="1"/>
  <c r="G639" i="1"/>
  <c r="G646" i="1"/>
  <c r="G663" i="1"/>
  <c r="G645" i="1"/>
  <c r="G661" i="1"/>
  <c r="G649" i="1"/>
  <c r="G637" i="1"/>
  <c r="G662" i="1"/>
  <c r="G647" i="1"/>
  <c r="G635" i="1"/>
  <c r="G660" i="1"/>
  <c r="G636" i="1"/>
  <c r="G659" i="1"/>
  <c r="G658" i="1"/>
  <c r="Q133" i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2" i="1"/>
  <c r="P3" i="1"/>
  <c r="Q3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Q2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2" i="1"/>
  <c r="G580" i="1" l="1"/>
  <c r="G584" i="1" l="1"/>
  <c r="G631" i="1"/>
  <c r="G619" i="1"/>
  <c r="G607" i="1"/>
  <c r="G595" i="1"/>
  <c r="G630" i="1"/>
  <c r="G618" i="1"/>
  <c r="G606" i="1"/>
  <c r="G594" i="1"/>
  <c r="G629" i="1"/>
  <c r="G617" i="1"/>
  <c r="G605" i="1"/>
  <c r="G593" i="1"/>
  <c r="G608" i="1"/>
  <c r="G628" i="1"/>
  <c r="G616" i="1"/>
  <c r="G604" i="1"/>
  <c r="G592" i="1"/>
  <c r="G627" i="1"/>
  <c r="G615" i="1"/>
  <c r="G603" i="1"/>
  <c r="G591" i="1"/>
  <c r="G596" i="1"/>
  <c r="G626" i="1"/>
  <c r="G609" i="1"/>
  <c r="G602" i="1"/>
  <c r="G590" i="1"/>
  <c r="G625" i="1"/>
  <c r="G610" i="1"/>
  <c r="G601" i="1"/>
  <c r="G589" i="1"/>
  <c r="G624" i="1"/>
  <c r="G611" i="1"/>
  <c r="G600" i="1"/>
  <c r="G588" i="1"/>
  <c r="G623" i="1"/>
  <c r="G612" i="1"/>
  <c r="G599" i="1"/>
  <c r="G587" i="1"/>
  <c r="G622" i="1"/>
  <c r="G613" i="1"/>
  <c r="G598" i="1"/>
  <c r="G586" i="1"/>
  <c r="G621" i="1"/>
  <c r="G614" i="1"/>
  <c r="G597" i="1"/>
  <c r="G620" i="1"/>
  <c r="G496" i="1"/>
  <c r="G576" i="1"/>
  <c r="G571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G511" i="1"/>
  <c r="G507" i="1"/>
  <c r="G503" i="1"/>
  <c r="G499" i="1"/>
  <c r="G575" i="1"/>
  <c r="G567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G510" i="1"/>
  <c r="G506" i="1"/>
  <c r="G502" i="1"/>
  <c r="G498" i="1"/>
  <c r="G583" i="1"/>
  <c r="G57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7" i="1"/>
  <c r="G572" i="1"/>
  <c r="G568" i="1"/>
  <c r="G564" i="1"/>
  <c r="G560" i="1"/>
  <c r="G556" i="1"/>
  <c r="G552" i="1"/>
  <c r="G548" i="1"/>
  <c r="G544" i="1"/>
  <c r="G540" i="1"/>
  <c r="G536" i="1"/>
  <c r="G532" i="1"/>
  <c r="G528" i="1"/>
  <c r="G524" i="1"/>
  <c r="G520" i="1"/>
  <c r="G516" i="1"/>
  <c r="G512" i="1"/>
  <c r="G508" i="1"/>
  <c r="G504" i="1"/>
  <c r="G500" i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" i="4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G495" i="1" l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3" i="1"/>
  <c r="G474" i="1"/>
  <c r="G475" i="1"/>
  <c r="G476" i="1"/>
  <c r="G471" i="1"/>
  <c r="G472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4" i="1"/>
  <c r="G445" i="1"/>
  <c r="G446" i="1"/>
  <c r="G447" i="1"/>
  <c r="G448" i="1"/>
  <c r="G2" i="1"/>
  <c r="G109" i="1"/>
  <c r="G110" i="1"/>
  <c r="G111" i="1"/>
  <c r="G112" i="1"/>
  <c r="G115" i="1"/>
  <c r="G116" i="1"/>
  <c r="G117" i="1"/>
  <c r="G118" i="1"/>
  <c r="G121" i="1"/>
  <c r="G122" i="1"/>
  <c r="G123" i="1"/>
  <c r="G124" i="1"/>
  <c r="G127" i="1"/>
  <c r="G128" i="1"/>
  <c r="G129" i="1"/>
  <c r="G154" i="1"/>
  <c r="G156" i="1"/>
  <c r="G168" i="1"/>
  <c r="G180" i="1"/>
  <c r="G189" i="1"/>
  <c r="G192" i="1"/>
  <c r="G194" i="1"/>
  <c r="G295" i="1"/>
  <c r="G205" i="1"/>
  <c r="G210" i="1"/>
  <c r="G211" i="1"/>
  <c r="G216" i="1"/>
  <c r="G217" i="1"/>
  <c r="G222" i="1"/>
  <c r="G223" i="1"/>
  <c r="G228" i="1"/>
  <c r="G229" i="1"/>
  <c r="G234" i="1"/>
  <c r="G235" i="1"/>
  <c r="G240" i="1"/>
  <c r="G241" i="1"/>
  <c r="G246" i="1"/>
  <c r="G247" i="1"/>
  <c r="G252" i="1"/>
  <c r="G253" i="1"/>
  <c r="G258" i="1"/>
  <c r="G259" i="1"/>
  <c r="G261" i="1"/>
  <c r="G262" i="1"/>
  <c r="G263" i="1"/>
  <c r="G264" i="1"/>
  <c r="G266" i="1"/>
  <c r="G267" i="1"/>
  <c r="G268" i="1"/>
  <c r="G269" i="1"/>
  <c r="G270" i="1"/>
  <c r="G272" i="1"/>
  <c r="G273" i="1"/>
  <c r="G274" i="1"/>
  <c r="G275" i="1"/>
  <c r="G276" i="1"/>
  <c r="G278" i="1"/>
  <c r="G279" i="1"/>
  <c r="G280" i="1"/>
  <c r="G281" i="1"/>
  <c r="G282" i="1"/>
  <c r="G284" i="1"/>
  <c r="G285" i="1"/>
  <c r="G286" i="1"/>
  <c r="G287" i="1"/>
  <c r="G288" i="1"/>
  <c r="G290" i="1"/>
  <c r="G291" i="1"/>
  <c r="G292" i="1"/>
  <c r="G293" i="1"/>
  <c r="G294" i="1"/>
  <c r="G296" i="1"/>
  <c r="G297" i="1"/>
  <c r="G298" i="1"/>
  <c r="G299" i="1"/>
  <c r="G300" i="1"/>
  <c r="G302" i="1"/>
  <c r="G303" i="1"/>
  <c r="G304" i="1"/>
  <c r="G305" i="1"/>
  <c r="G306" i="1"/>
  <c r="G308" i="1"/>
  <c r="G309" i="1"/>
  <c r="G310" i="1"/>
  <c r="G311" i="1"/>
  <c r="G312" i="1"/>
  <c r="G314" i="1"/>
  <c r="G315" i="1"/>
  <c r="G316" i="1"/>
  <c r="G317" i="1"/>
  <c r="G318" i="1"/>
  <c r="G320" i="1"/>
  <c r="G321" i="1"/>
  <c r="G322" i="1"/>
  <c r="G323" i="1"/>
  <c r="G324" i="1"/>
  <c r="G326" i="1"/>
  <c r="G327" i="1"/>
  <c r="G328" i="1"/>
  <c r="G329" i="1"/>
  <c r="G330" i="1"/>
  <c r="G332" i="1"/>
  <c r="G333" i="1"/>
  <c r="G334" i="1"/>
  <c r="G335" i="1"/>
  <c r="G336" i="1"/>
  <c r="G338" i="1"/>
  <c r="G339" i="1"/>
  <c r="G340" i="1"/>
  <c r="G341" i="1"/>
  <c r="G342" i="1"/>
  <c r="G344" i="1"/>
  <c r="G345" i="1"/>
  <c r="G346" i="1"/>
  <c r="G347" i="1"/>
  <c r="G348" i="1"/>
  <c r="G350" i="1"/>
  <c r="G351" i="1"/>
  <c r="G352" i="1"/>
  <c r="G353" i="1"/>
  <c r="G354" i="1"/>
  <c r="G356" i="1"/>
  <c r="G357" i="1"/>
  <c r="G358" i="1"/>
  <c r="G359" i="1"/>
  <c r="G360" i="1"/>
  <c r="G362" i="1"/>
  <c r="G363" i="1"/>
  <c r="G364" i="1"/>
  <c r="G365" i="1"/>
  <c r="G366" i="1"/>
  <c r="G368" i="1"/>
  <c r="G369" i="1"/>
  <c r="G370" i="1"/>
  <c r="G371" i="1"/>
  <c r="G372" i="1"/>
  <c r="G374" i="1"/>
  <c r="G375" i="1"/>
  <c r="G376" i="1"/>
  <c r="G377" i="1"/>
  <c r="G378" i="1"/>
  <c r="G380" i="1"/>
  <c r="G381" i="1"/>
  <c r="G382" i="1"/>
  <c r="G383" i="1"/>
  <c r="G384" i="1"/>
  <c r="G386" i="1"/>
  <c r="G387" i="1"/>
  <c r="G388" i="1"/>
  <c r="G389" i="1"/>
  <c r="G390" i="1"/>
  <c r="G392" i="1"/>
  <c r="G393" i="1"/>
  <c r="G394" i="1"/>
  <c r="G395" i="1"/>
  <c r="G396" i="1"/>
  <c r="G398" i="1"/>
  <c r="G399" i="1"/>
  <c r="G400" i="1"/>
  <c r="G401" i="1"/>
  <c r="G402" i="1"/>
  <c r="G404" i="1"/>
  <c r="G405" i="1"/>
  <c r="G406" i="1"/>
  <c r="G407" i="1"/>
  <c r="G408" i="1"/>
  <c r="G410" i="1"/>
  <c r="G411" i="1"/>
  <c r="G412" i="1"/>
  <c r="G413" i="1"/>
  <c r="G414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170" i="1" l="1"/>
  <c r="G147" i="1"/>
  <c r="G126" i="1"/>
  <c r="G120" i="1"/>
  <c r="G114" i="1"/>
  <c r="G108" i="1"/>
  <c r="G97" i="1"/>
  <c r="G85" i="1"/>
  <c r="G73" i="1"/>
  <c r="G61" i="1"/>
  <c r="G49" i="1"/>
  <c r="G37" i="1"/>
  <c r="G25" i="1"/>
  <c r="G13" i="1"/>
  <c r="G182" i="1"/>
  <c r="G158" i="1"/>
  <c r="G135" i="1"/>
  <c r="G204" i="1"/>
  <c r="G193" i="1"/>
  <c r="G181" i="1"/>
  <c r="G169" i="1"/>
  <c r="G157" i="1"/>
  <c r="G146" i="1"/>
  <c r="G134" i="1"/>
  <c r="G96" i="1"/>
  <c r="G84" i="1"/>
  <c r="G72" i="1"/>
  <c r="G60" i="1"/>
  <c r="G48" i="1"/>
  <c r="G36" i="1"/>
  <c r="G24" i="1"/>
  <c r="G12" i="1"/>
  <c r="G145" i="1"/>
  <c r="G133" i="1"/>
  <c r="G125" i="1"/>
  <c r="G119" i="1"/>
  <c r="G113" i="1"/>
  <c r="G107" i="1"/>
  <c r="G95" i="1"/>
  <c r="G83" i="1"/>
  <c r="G71" i="1"/>
  <c r="G59" i="1"/>
  <c r="G47" i="1"/>
  <c r="G35" i="1"/>
  <c r="G23" i="1"/>
  <c r="G11" i="1"/>
  <c r="G227" i="1"/>
  <c r="G209" i="1"/>
  <c r="G167" i="1"/>
  <c r="G58" i="1"/>
  <c r="G46" i="1"/>
  <c r="G34" i="1"/>
  <c r="G22" i="1"/>
  <c r="G10" i="1"/>
  <c r="G239" i="1"/>
  <c r="G233" i="1"/>
  <c r="G221" i="1"/>
  <c r="G215" i="1"/>
  <c r="G203" i="1"/>
  <c r="G191" i="1"/>
  <c r="G179" i="1"/>
  <c r="G155" i="1"/>
  <c r="G144" i="1"/>
  <c r="G132" i="1"/>
  <c r="G106" i="1"/>
  <c r="G94" i="1"/>
  <c r="G82" i="1"/>
  <c r="G70" i="1"/>
  <c r="G202" i="1"/>
  <c r="G190" i="1"/>
  <c r="G178" i="1"/>
  <c r="G166" i="1"/>
  <c r="G143" i="1"/>
  <c r="G131" i="1"/>
  <c r="G105" i="1"/>
  <c r="G93" i="1"/>
  <c r="G81" i="1"/>
  <c r="G69" i="1"/>
  <c r="G57" i="1"/>
  <c r="G45" i="1"/>
  <c r="G33" i="1"/>
  <c r="G21" i="1"/>
  <c r="G9" i="1"/>
  <c r="G104" i="1"/>
  <c r="G80" i="1"/>
  <c r="G68" i="1"/>
  <c r="G56" i="1"/>
  <c r="G44" i="1"/>
  <c r="G32" i="1"/>
  <c r="G20" i="1"/>
  <c r="G8" i="1"/>
  <c r="G257" i="1"/>
  <c r="G250" i="1"/>
  <c r="G232" i="1"/>
  <c r="G226" i="1"/>
  <c r="G220" i="1"/>
  <c r="G214" i="1"/>
  <c r="G208" i="1"/>
  <c r="G201" i="1"/>
  <c r="G177" i="1"/>
  <c r="G165" i="1"/>
  <c r="G142" i="1"/>
  <c r="G130" i="1"/>
  <c r="G92" i="1"/>
  <c r="G200" i="1"/>
  <c r="G188" i="1"/>
  <c r="G176" i="1"/>
  <c r="G164" i="1"/>
  <c r="G153" i="1"/>
  <c r="G141" i="1"/>
  <c r="G103" i="1"/>
  <c r="G91" i="1"/>
  <c r="G79" i="1"/>
  <c r="G67" i="1"/>
  <c r="G55" i="1"/>
  <c r="G43" i="1"/>
  <c r="G31" i="1"/>
  <c r="G19" i="1"/>
  <c r="G7" i="1"/>
  <c r="G251" i="1"/>
  <c r="G238" i="1"/>
  <c r="G225" i="1"/>
  <c r="G175" i="1"/>
  <c r="G152" i="1"/>
  <c r="G140" i="1"/>
  <c r="G102" i="1"/>
  <c r="G90" i="1"/>
  <c r="G78" i="1"/>
  <c r="G66" i="1"/>
  <c r="G54" i="1"/>
  <c r="G42" i="1"/>
  <c r="G30" i="1"/>
  <c r="G18" i="1"/>
  <c r="G6" i="1"/>
  <c r="G245" i="1"/>
  <c r="G244" i="1"/>
  <c r="G255" i="1"/>
  <c r="G249" i="1"/>
  <c r="G243" i="1"/>
  <c r="G237" i="1"/>
  <c r="G231" i="1"/>
  <c r="G219" i="1"/>
  <c r="G213" i="1"/>
  <c r="G207" i="1"/>
  <c r="G199" i="1"/>
  <c r="G187" i="1"/>
  <c r="G163" i="1"/>
  <c r="G198" i="1"/>
  <c r="G186" i="1"/>
  <c r="G174" i="1"/>
  <c r="G162" i="1"/>
  <c r="G151" i="1"/>
  <c r="G139" i="1"/>
  <c r="G101" i="1"/>
  <c r="G89" i="1"/>
  <c r="G77" i="1"/>
  <c r="G65" i="1"/>
  <c r="G53" i="1"/>
  <c r="G41" i="1"/>
  <c r="G29" i="1"/>
  <c r="G17" i="1"/>
  <c r="G5" i="1"/>
  <c r="G256" i="1"/>
  <c r="G260" i="1"/>
  <c r="G254" i="1"/>
  <c r="G248" i="1"/>
  <c r="G242" i="1"/>
  <c r="G236" i="1"/>
  <c r="G230" i="1"/>
  <c r="G224" i="1"/>
  <c r="G218" i="1"/>
  <c r="G212" i="1"/>
  <c r="G206" i="1"/>
  <c r="G197" i="1"/>
  <c r="G185" i="1"/>
  <c r="G173" i="1"/>
  <c r="G161" i="1"/>
  <c r="G150" i="1"/>
  <c r="G138" i="1"/>
  <c r="G100" i="1"/>
  <c r="G88" i="1"/>
  <c r="G76" i="1"/>
  <c r="G64" i="1"/>
  <c r="G52" i="1"/>
  <c r="G40" i="1"/>
  <c r="G28" i="1"/>
  <c r="G16" i="1"/>
  <c r="G4" i="1"/>
  <c r="G409" i="1"/>
  <c r="G397" i="1"/>
  <c r="G385" i="1"/>
  <c r="G373" i="1"/>
  <c r="G361" i="1"/>
  <c r="G349" i="1"/>
  <c r="G337" i="1"/>
  <c r="G325" i="1"/>
  <c r="G313" i="1"/>
  <c r="G301" i="1"/>
  <c r="G289" i="1"/>
  <c r="G283" i="1"/>
  <c r="G277" i="1"/>
  <c r="G271" i="1"/>
  <c r="G265" i="1"/>
  <c r="G196" i="1"/>
  <c r="G184" i="1"/>
  <c r="G172" i="1"/>
  <c r="G160" i="1"/>
  <c r="G149" i="1"/>
  <c r="G137" i="1"/>
  <c r="G99" i="1"/>
  <c r="G87" i="1"/>
  <c r="G75" i="1"/>
  <c r="G63" i="1"/>
  <c r="G51" i="1"/>
  <c r="G39" i="1"/>
  <c r="G27" i="1"/>
  <c r="G15" i="1"/>
  <c r="G3" i="1"/>
  <c r="G415" i="1"/>
  <c r="G403" i="1"/>
  <c r="G391" i="1"/>
  <c r="G379" i="1"/>
  <c r="G367" i="1"/>
  <c r="G355" i="1"/>
  <c r="G343" i="1"/>
  <c r="G331" i="1"/>
  <c r="G319" i="1"/>
  <c r="G307" i="1"/>
  <c r="G195" i="1"/>
  <c r="G183" i="1"/>
  <c r="G171" i="1"/>
  <c r="G159" i="1"/>
  <c r="G148" i="1"/>
  <c r="G136" i="1"/>
  <c r="G98" i="1"/>
  <c r="G86" i="1"/>
  <c r="G74" i="1"/>
  <c r="G62" i="1"/>
  <c r="G50" i="1"/>
  <c r="G38" i="1"/>
  <c r="G26" i="1"/>
  <c r="G14" i="1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2" i="4"/>
  <c r="D2" i="4" s="1"/>
</calcChain>
</file>

<file path=xl/sharedStrings.xml><?xml version="1.0" encoding="utf-8"?>
<sst xmlns="http://schemas.openxmlformats.org/spreadsheetml/2006/main" count="11526" uniqueCount="3281">
  <si>
    <t>UUID</t>
  </si>
  <si>
    <t>=MINUSCULE(CONCATENER(DECHEX(ALEA.ENTRE.BORNES(0;PUISSANCE(16;8));8);"-";DECHEX(ALEA.ENTRE.BORNES(0;PUISSANCE(16;4));4);"-";"4";DECHEX(ALEA.ENTRE.BORNES(0;PUISSANCE(16;3));3);"-";DECHEX(ALEA.ENTRE.BORNES(8;11));DECHEX(ALEA.ENTRE.BORNES(0;PUISSANCE(16;3));3);"-";DECHEX(ALEA.ENTRE.BORNES(0;PUISSANCE(16;8));8);DECHEX(ALEA.ENTRE.BORNES(0;PUISSANCE(16;4));4)))</t>
  </si>
  <si>
    <t>LINE</t>
  </si>
  <si>
    <t>NAME</t>
  </si>
  <si>
    <t>DIRECT_LINK</t>
  </si>
  <si>
    <t>CHANGE_SAME</t>
  </si>
  <si>
    <t>CHANGE_DIFF</t>
  </si>
  <si>
    <t>INSERTED</t>
  </si>
  <si>
    <t>La Défense Grande Arche</t>
  </si>
  <si>
    <t>Esplanade de La Défense</t>
  </si>
  <si>
    <t>Pont de Neuilly</t>
  </si>
  <si>
    <t>Les Sablons</t>
  </si>
  <si>
    <t>Porte Maillot</t>
  </si>
  <si>
    <t>Argentine</t>
  </si>
  <si>
    <t>GROUP_NAME</t>
  </si>
  <si>
    <t>Georges V</t>
  </si>
  <si>
    <t>Franklin D. Roosevelt</t>
  </si>
  <si>
    <t>Concorde</t>
  </si>
  <si>
    <t>Tuileries</t>
  </si>
  <si>
    <t>Louvre-Rivoli</t>
  </si>
  <si>
    <t>Châtelet</t>
  </si>
  <si>
    <t>Hôtel de Ville</t>
  </si>
  <si>
    <t>Saint-Paul</t>
  </si>
  <si>
    <t>Bastille</t>
  </si>
  <si>
    <t>Gare de Lyon</t>
  </si>
  <si>
    <t>Nation</t>
  </si>
  <si>
    <t>Porte de Vincennes</t>
  </si>
  <si>
    <t>Saint-Mandé</t>
  </si>
  <si>
    <t>Bérault</t>
  </si>
  <si>
    <t>Château de Vincennes</t>
  </si>
  <si>
    <t>b312bda1-e65c-4592-b58b-033ad4718767</t>
  </si>
  <si>
    <t>14d98de6-ffc6-43a2-860e-225a5bafb31a</t>
  </si>
  <si>
    <t>c1f64a40-3640-4a29-a774-9ecf46583272</t>
  </si>
  <si>
    <t>f18d9711-8b9b-43a3-8139-e9a815f5fe3c</t>
  </si>
  <si>
    <t>00cb9108-5b85-4c30-b608-bc47a05bc205</t>
  </si>
  <si>
    <t>f2fd6950-afae-4ef0-852e-767d5d8b7e9e</t>
  </si>
  <si>
    <t>755ceb3a-df2f-456f-84e0-8664f6b75170</t>
  </si>
  <si>
    <t>3c9bd481-35e3-4ffc-b973-f6a5c7f7f284</t>
  </si>
  <si>
    <t>b9d1c704-532d-44b1-934c-99df09c84323</t>
  </si>
  <si>
    <t>e56520f5-e7d1-4b59-9c07-d38f701839ee</t>
  </si>
  <si>
    <t>977af1c5-4d39-4406-82a5-c1e811c51410</t>
  </si>
  <si>
    <t>fbd3ad64-8537-4e18-afc2-ed5d3d9cb097</t>
  </si>
  <si>
    <t>c8cca062-47ed-4801-8906-b5849492a297</t>
  </si>
  <si>
    <t>0da91896-c62c-4bd3-b9b3-eb61633b0b82</t>
  </si>
  <si>
    <t>241906bd-1a8a-460a-a00a-19ab1e7af0d9</t>
  </si>
  <si>
    <t>5732ca8b-23ee-47fb-9718-77d2f6b477c0</t>
  </si>
  <si>
    <t>4ea4d00a-b92a-444a-b724-c5acc705003e</t>
  </si>
  <si>
    <t>757a3621-4dda-4117-9888-7a836c6c3dd8</t>
  </si>
  <si>
    <t>6b2c5ee8-d593-40ab-95e6-cd90c1a5f7c8</t>
  </si>
  <si>
    <t>6bfcba0b-189f-414f-bc44-94413a02f3bd</t>
  </si>
  <si>
    <t>3fe3b2e7-bc78-42b7-aee2-d9e24a170873</t>
  </si>
  <si>
    <t>cc967a54-83e5-40af-9c61-012b9ea9906a</t>
  </si>
  <si>
    <t>e3d0442b-0e5f-4001-afc2-d696f5a402f9</t>
  </si>
  <si>
    <t>895a38ab-fed5-4126-8540-b15a5036c9a6</t>
  </si>
  <si>
    <t>d9c3de39-fb67-4a6e-8ec3-b766513b1f0c</t>
  </si>
  <si>
    <t>b312bda1-e65c-4592-b58b-033ad4718767/c1f64a40-3640-4a29-a774-9ecf46583272</t>
  </si>
  <si>
    <t>14d98de6-ffc6-43a2-860e-225a5bafb31a/f18d9711-8b9b-43a3-8139-e9a815f5fe3c</t>
  </si>
  <si>
    <t>c1f64a40-3640-4a29-a774-9ecf46583272/00cb9108-5b85-4c30-b608-bc47a05bc205</t>
  </si>
  <si>
    <t>f18d9711-8b9b-43a3-8139-e9a815f5fe3c/f2fd6950-afae-4ef0-852e-767d5d8b7e9e</t>
  </si>
  <si>
    <t>00cb9108-5b85-4c30-b608-bc47a05bc205/755ceb3a-df2f-456f-84e0-8664f6b75170</t>
  </si>
  <si>
    <t>f2fd6950-afae-4ef0-852e-767d5d8b7e9e/3c9bd481-35e3-4ffc-b973-f6a5c7f7f284</t>
  </si>
  <si>
    <t>755ceb3a-df2f-456f-84e0-8664f6b75170/b9d1c704-532d-44b1-934c-99df09c84323</t>
  </si>
  <si>
    <t>3c9bd481-35e3-4ffc-b973-f6a5c7f7f284/e56520f5-e7d1-4b59-9c07-d38f701839ee</t>
  </si>
  <si>
    <t>b9d1c704-532d-44b1-934c-99df09c84323/977af1c5-4d39-4406-82a5-c1e811c51410</t>
  </si>
  <si>
    <t>e56520f5-e7d1-4b59-9c07-d38f701839ee/fbd3ad64-8537-4e18-afc2-ed5d3d9cb097</t>
  </si>
  <si>
    <t>977af1c5-4d39-4406-82a5-c1e811c51410/c8cca062-47ed-4801-8906-b5849492a297</t>
  </si>
  <si>
    <t>fbd3ad64-8537-4e18-afc2-ed5d3d9cb097/0da91896-c62c-4bd3-b9b3-eb61633b0b82</t>
  </si>
  <si>
    <t>c8cca062-47ed-4801-8906-b5849492a297/241906bd-1a8a-460a-a00a-19ab1e7af0d9</t>
  </si>
  <si>
    <t>0da91896-c62c-4bd3-b9b3-eb61633b0b82/5732ca8b-23ee-47fb-9718-77d2f6b477c0</t>
  </si>
  <si>
    <t>241906bd-1a8a-460a-a00a-19ab1e7af0d9/4ea4d00a-b92a-444a-b724-c5acc705003e</t>
  </si>
  <si>
    <t>5732ca8b-23ee-47fb-9718-77d2f6b477c0/757a3621-4dda-4117-9888-7a836c6c3dd8</t>
  </si>
  <si>
    <t>4ea4d00a-b92a-444a-b724-c5acc705003e/6b2c5ee8-d593-40ab-95e6-cd90c1a5f7c8</t>
  </si>
  <si>
    <t>757a3621-4dda-4117-9888-7a836c6c3dd8/6bfcba0b-189f-414f-bc44-94413a02f3bd</t>
  </si>
  <si>
    <t>6b2c5ee8-d593-40ab-95e6-cd90c1a5f7c8/3fe3b2e7-bc78-42b7-aee2-d9e24a170873</t>
  </si>
  <si>
    <t>6bfcba0b-189f-414f-bc44-94413a02f3bd/cc967a54-83e5-40af-9c61-012b9ea9906a</t>
  </si>
  <si>
    <t>3fe3b2e7-bc78-42b7-aee2-d9e24a170873/e3d0442b-0e5f-4001-afc2-d696f5a402f9</t>
  </si>
  <si>
    <t>cc967a54-83e5-40af-9c61-012b9ea9906a/895a38ab-fed5-4126-8540-b15a5036c9a6</t>
  </si>
  <si>
    <t>e3d0442b-0e5f-4001-afc2-d696f5a402f9/d9c3de39-fb67-4a6e-8ec3-b766513b1f0c</t>
  </si>
  <si>
    <t>La Défense Grande Arche / Pont de Neuilly</t>
  </si>
  <si>
    <t>Esplanade de La Défense / Les Sablons</t>
  </si>
  <si>
    <t>Pont de Neuilly / Porte Maillot</t>
  </si>
  <si>
    <t>Les Sablons / Argentine</t>
  </si>
  <si>
    <t>Argentine / Georges V</t>
  </si>
  <si>
    <t>Franklin D. Roosevelt / Concorde</t>
  </si>
  <si>
    <t>Châtelet / Saint-Paul</t>
  </si>
  <si>
    <t>Hôtel de Ville / Bastille</t>
  </si>
  <si>
    <t>Saint-Paul / Gare de Lyon</t>
  </si>
  <si>
    <t>Gare de Lyon / Nation</t>
  </si>
  <si>
    <t>Nation / Saint-Mandé</t>
  </si>
  <si>
    <t>Porte de Vincennes / Bérault</t>
  </si>
  <si>
    <t>Saint-Mandé / Château de Vincennes</t>
  </si>
  <si>
    <t>M1</t>
  </si>
  <si>
    <t>M2</t>
  </si>
  <si>
    <t>M3</t>
  </si>
  <si>
    <t>M4</t>
  </si>
  <si>
    <t>Champs-Elysées - Clémenceau</t>
  </si>
  <si>
    <t>Charles de Gaulle - Etoile</t>
  </si>
  <si>
    <t>Palais Royal - Musée du Louvre</t>
  </si>
  <si>
    <t>Reuilly - Diderot</t>
  </si>
  <si>
    <t>Porte Maillot / Charles de Gaulle - Etoile</t>
  </si>
  <si>
    <t>Champs-Elysées - Clémenceau / Tuileries</t>
  </si>
  <si>
    <t>Georges V / Champs-Elysées - Clémenceau</t>
  </si>
  <si>
    <t>Charles de Gaulle - Etoile / Franklin D. Roosevelt</t>
  </si>
  <si>
    <t>Louvre - Rivoli</t>
  </si>
  <si>
    <t>Louvre - Rivoli / Hôtel de Ville</t>
  </si>
  <si>
    <t>Bastille / Reuilly - Diderot</t>
  </si>
  <si>
    <t>Reuilly - Diderot / Porte de Vincennes</t>
  </si>
  <si>
    <t>Tuileries / Louvre - Rivoli</t>
  </si>
  <si>
    <t>Porte Dauphine</t>
  </si>
  <si>
    <t>Victor Hugo</t>
  </si>
  <si>
    <t>Ternes</t>
  </si>
  <si>
    <t>Courcelles</t>
  </si>
  <si>
    <t>Monceau</t>
  </si>
  <si>
    <t>Villiers</t>
  </si>
  <si>
    <t>Rome</t>
  </si>
  <si>
    <t>Place de Clichy</t>
  </si>
  <si>
    <t>Blanche</t>
  </si>
  <si>
    <t>Pigalle</t>
  </si>
  <si>
    <t>Anvers</t>
  </si>
  <si>
    <t>Barbès - Rechechouart</t>
  </si>
  <si>
    <t>La Chapelle</t>
  </si>
  <si>
    <t>Stalingrad</t>
  </si>
  <si>
    <t>Jaurès</t>
  </si>
  <si>
    <t>Colonel Fabien</t>
  </si>
  <si>
    <t>Belleville</t>
  </si>
  <si>
    <t>Couronnes</t>
  </si>
  <si>
    <t>Ménilmontant</t>
  </si>
  <si>
    <t>Père Lachaise</t>
  </si>
  <si>
    <t>Philippe Auguste</t>
  </si>
  <si>
    <t>Alexandre Dumas</t>
  </si>
  <si>
    <t>Avron</t>
  </si>
  <si>
    <t>cf517a3b-379d-4e6e-a96a-8d0643d5f8d0</t>
  </si>
  <si>
    <t>48dfa2a0-9de8-43cd-aa71-6356484814a4</t>
  </si>
  <si>
    <t>3df2697d-2b6f-4981-a584-5dc323bfdb84</t>
  </si>
  <si>
    <t>ea229cd3-5220-40f9-b1bb-254cc1389174</t>
  </si>
  <si>
    <t>86fe7668-389f-4a80-8e58-25a59ec038f9</t>
  </si>
  <si>
    <t>9769e1a1-be66-4f4c-860e-3d8a816a6855</t>
  </si>
  <si>
    <t>10b62ae5-35ff-45db-af51-d2671b983651</t>
  </si>
  <si>
    <t>f5e995d0-a5fc-456e-aa47-56206377bd98</t>
  </si>
  <si>
    <t>a19b50e8-8284-47de-a5d4-303e2f4e1058</t>
  </si>
  <si>
    <t>65f01e7a-26f3-47c6-9a6b-23709091885c</t>
  </si>
  <si>
    <t>fc51df3e-c34c-4ba4-bb3b-9596338beb13</t>
  </si>
  <si>
    <t>a2f93f5e-583f-44b1-ace8-3c71fc827140</t>
  </si>
  <si>
    <t>83fffe6d-c4b2-4ba4-a631-7078087c95af</t>
  </si>
  <si>
    <t>a7a96d0e-de76-41c3-bc38-88d12b04ed1d</t>
  </si>
  <si>
    <t>ee8beb96-1812-440f-80b7-d9a7b0094388</t>
  </si>
  <si>
    <t>c7a97b27-235c-4a4a-bfba-f9ca4f4501bc</t>
  </si>
  <si>
    <t>1806cd1d-602d-4895-ac58-6f74604c73ff</t>
  </si>
  <si>
    <t>eb12bfff-2545-4cc0-bd66-abcb3bdee780</t>
  </si>
  <si>
    <t>f988baae-2b18-4331-bbc7-1f3204b166df</t>
  </si>
  <si>
    <t>8ba4c93d-e391-4cbf-8025-e7331e4231c6</t>
  </si>
  <si>
    <t>f4d561ba-e7f2-42b2-b8f6-d82da069ea9c</t>
  </si>
  <si>
    <t>c1d5956c-b697-4a2c-973b-eb3c1c83c256</t>
  </si>
  <si>
    <t>19422ca3-5505-40a0-b879-c8be1ac3228d</t>
  </si>
  <si>
    <t>ba1c12c8-b769-4226-9caf-375e0d03ac52</t>
  </si>
  <si>
    <t>a1acd0b7-df11-4b1f-b234-f22cc3494994</t>
  </si>
  <si>
    <t>cf517a3b-379d-4e6e-a96a-8d0643d5f8d0/3df2697d-2b6f-4981-a584-5dc323bfdb84</t>
  </si>
  <si>
    <t>48dfa2a0-9de8-43cd-aa71-6356484814a4/ea229cd3-5220-40f9-b1bb-254cc1389174</t>
  </si>
  <si>
    <t>3df2697d-2b6f-4981-a584-5dc323bfdb84/86fe7668-389f-4a80-8e58-25a59ec038f9</t>
  </si>
  <si>
    <t>ea229cd3-5220-40f9-b1bb-254cc1389174/9769e1a1-be66-4f4c-860e-3d8a816a6855</t>
  </si>
  <si>
    <t>86fe7668-389f-4a80-8e58-25a59ec038f9/10b62ae5-35ff-45db-af51-d2671b983651</t>
  </si>
  <si>
    <t>9769e1a1-be66-4f4c-860e-3d8a816a6855/f5e995d0-a5fc-456e-aa47-56206377bd98</t>
  </si>
  <si>
    <t>10b62ae5-35ff-45db-af51-d2671b983651/a19b50e8-8284-47de-a5d4-303e2f4e1058</t>
  </si>
  <si>
    <t>f5e995d0-a5fc-456e-aa47-56206377bd98/65f01e7a-26f3-47c6-9a6b-23709091885c</t>
  </si>
  <si>
    <t>a19b50e8-8284-47de-a5d4-303e2f4e1058/fc51df3e-c34c-4ba4-bb3b-9596338beb13</t>
  </si>
  <si>
    <t>65f01e7a-26f3-47c6-9a6b-23709091885c/a2f93f5e-583f-44b1-ace8-3c71fc827140</t>
  </si>
  <si>
    <t>fc51df3e-c34c-4ba4-bb3b-9596338beb13/83fffe6d-c4b2-4ba4-a631-7078087c95af</t>
  </si>
  <si>
    <t>a2f93f5e-583f-44b1-ace8-3c71fc827140/a7a96d0e-de76-41c3-bc38-88d12b04ed1d</t>
  </si>
  <si>
    <t>83fffe6d-c4b2-4ba4-a631-7078087c95af/ee8beb96-1812-440f-80b7-d9a7b0094388</t>
  </si>
  <si>
    <t>a7a96d0e-de76-41c3-bc38-88d12b04ed1d/c7a97b27-235c-4a4a-bfba-f9ca4f4501bc</t>
  </si>
  <si>
    <t>ee8beb96-1812-440f-80b7-d9a7b0094388/1806cd1d-602d-4895-ac58-6f74604c73ff</t>
  </si>
  <si>
    <t>c7a97b27-235c-4a4a-bfba-f9ca4f4501bc/eb12bfff-2545-4cc0-bd66-abcb3bdee780</t>
  </si>
  <si>
    <t>1806cd1d-602d-4895-ac58-6f74604c73ff/f988baae-2b18-4331-bbc7-1f3204b166df</t>
  </si>
  <si>
    <t>eb12bfff-2545-4cc0-bd66-abcb3bdee780/8ba4c93d-e391-4cbf-8025-e7331e4231c6</t>
  </si>
  <si>
    <t>f988baae-2b18-4331-bbc7-1f3204b166df/f4d561ba-e7f2-42b2-b8f6-d82da069ea9c</t>
  </si>
  <si>
    <t>8ba4c93d-e391-4cbf-8025-e7331e4231c6/c1d5956c-b697-4a2c-973b-eb3c1c83c256</t>
  </si>
  <si>
    <t>f4d561ba-e7f2-42b2-b8f6-d82da069ea9c/19422ca3-5505-40a0-b879-c8be1ac3228d</t>
  </si>
  <si>
    <t>c1d5956c-b697-4a2c-973b-eb3c1c83c256/ba1c12c8-b769-4226-9caf-375e0d03ac52</t>
  </si>
  <si>
    <t>19422ca3-5505-40a0-b879-c8be1ac3228d/a1acd0b7-df11-4b1f-b234-f22cc3494994</t>
  </si>
  <si>
    <t>Porte Dauphine / Charles de Gaulle - Etoile</t>
  </si>
  <si>
    <t>Victor Hugo / Ternes</t>
  </si>
  <si>
    <t>Charles de Gaulle - Etoile / Courcelles</t>
  </si>
  <si>
    <t>Ternes / Monceau</t>
  </si>
  <si>
    <t>Courcelles / Villiers</t>
  </si>
  <si>
    <t>Monceau / Rome</t>
  </si>
  <si>
    <t>Villiers / Place de Clichy</t>
  </si>
  <si>
    <t>Rome / Blanche</t>
  </si>
  <si>
    <t>Place de Clichy / Pigalle</t>
  </si>
  <si>
    <t>Blanche / Anvers</t>
  </si>
  <si>
    <t>Pigalle / Barbès - Rechechouart</t>
  </si>
  <si>
    <t>Anvers / La Chapelle</t>
  </si>
  <si>
    <t>Barbès - Rechechouart / Stalingrad</t>
  </si>
  <si>
    <t>La Chapelle / Jaurès</t>
  </si>
  <si>
    <t>Stalingrad / Colonel Fabien</t>
  </si>
  <si>
    <t>Jaurès / Belleville</t>
  </si>
  <si>
    <t>Colonel Fabien / Couronnes</t>
  </si>
  <si>
    <t>Belleville / Ménilmontant</t>
  </si>
  <si>
    <t>Couronnes / Père Lachaise</t>
  </si>
  <si>
    <t>Ménilmontant / Philippe Auguste</t>
  </si>
  <si>
    <t>Père Lachaise / Alexandre Dumas</t>
  </si>
  <si>
    <t>Philippe Auguste / Avron</t>
  </si>
  <si>
    <t>Alexandre Dumas / Nation</t>
  </si>
  <si>
    <t>1c3dc4ab-5954-491b-9800-fb2426118ddf</t>
  </si>
  <si>
    <t>299b6e60-3fb4-4ad0-904e-5b1e9abe8bb5</t>
  </si>
  <si>
    <t>279eed37-af68-4aa9-ac9a-9aba0512bbfc</t>
  </si>
  <si>
    <t>9d5578b3-14cb-4752-b3c0-7a49054c6e3e</t>
  </si>
  <si>
    <t>d0bd14be-edba-4239-b164-fda2f7fcf3cc</t>
  </si>
  <si>
    <t>9a0f60d6-785f-4467-ada5-503f1ddb96c4</t>
  </si>
  <si>
    <t>c1cfecdd-ed53-468e-8a46-d6c5082960b0</t>
  </si>
  <si>
    <t>fc75c25e-4614-4ec0-8528-b882d76982c5</t>
  </si>
  <si>
    <t>59d6ed5c-e1a5-40a4-9cd2-64fede7c47ee</t>
  </si>
  <si>
    <t>425b6d44-f26d-4521-b737-a8b577bc437d</t>
  </si>
  <si>
    <t>5560ad51-630a-4c94-9a96-fe45637e19d0</t>
  </si>
  <si>
    <t>7497e934-33d8-4143-ac73-b75e9841cc85</t>
  </si>
  <si>
    <t>f438d7fc-4016-464b-8f26-d1e5bcb99a72</t>
  </si>
  <si>
    <t>7990755b-f930-4d27-a20f-2b1a597efd68</t>
  </si>
  <si>
    <t>bd9c7ac1-a57f-4d37-97a8-74ce3b8e9724</t>
  </si>
  <si>
    <t>9abe35dc-425d-43e3-9733-96c8861f77f3</t>
  </si>
  <si>
    <t>5320b8bf-cb2c-49cc-bfca-d8934dbf07a2</t>
  </si>
  <si>
    <t>c9be487d-dbc2-4aed-9dbf-4d47d6d61a84</t>
  </si>
  <si>
    <t>b02dedb1-5c12-4990-85a3-51b96860363d</t>
  </si>
  <si>
    <t>df3e3243-f9d4-4c3a-90df-429ed8bdb265</t>
  </si>
  <si>
    <t>7c5b978b-835f-481e-a408-1818c85fae36</t>
  </si>
  <si>
    <t>85a18989-c8c3-4b4e-9f8a-cccc95167713</t>
  </si>
  <si>
    <t>b5b5dab5-ed60-4782-9efd-736be530c098</t>
  </si>
  <si>
    <t>e239d124-0875-4832-a242-a5584a957bd2</t>
  </si>
  <si>
    <t>c678762b-4217-426b-95ba-2e201a5d27b2</t>
  </si>
  <si>
    <t>Pont de Levallois Bécon</t>
  </si>
  <si>
    <t>Anatole France</t>
  </si>
  <si>
    <t>Louise Michel</t>
  </si>
  <si>
    <t>Porte de Champerret</t>
  </si>
  <si>
    <t>Pereire</t>
  </si>
  <si>
    <t>Wagram</t>
  </si>
  <si>
    <t>Malesherbes</t>
  </si>
  <si>
    <t>Europe</t>
  </si>
  <si>
    <t>Saint-Lazare</t>
  </si>
  <si>
    <t>Havre - Caumartin</t>
  </si>
  <si>
    <t>Opéra</t>
  </si>
  <si>
    <t>Quatre-Septembre</t>
  </si>
  <si>
    <t>Bourse</t>
  </si>
  <si>
    <t>Sentier</t>
  </si>
  <si>
    <t>Réaumur - Sébastopol</t>
  </si>
  <si>
    <t>Arts et Métiers</t>
  </si>
  <si>
    <t>Temple</t>
  </si>
  <si>
    <t>République</t>
  </si>
  <si>
    <t>Parmentier</t>
  </si>
  <si>
    <t>Rue Saint-Maur</t>
  </si>
  <si>
    <t>Gambetta</t>
  </si>
  <si>
    <t>Porte de Bagnolet</t>
  </si>
  <si>
    <t>Gallieni</t>
  </si>
  <si>
    <t>1c3dc4ab-5954-491b-9800-fb2426118ddf/279eed37-af68-4aa9-ac9a-9aba0512bbfc</t>
  </si>
  <si>
    <t>299b6e60-3fb4-4ad0-904e-5b1e9abe8bb5/9d5578b3-14cb-4752-b3c0-7a49054c6e3e</t>
  </si>
  <si>
    <t>279eed37-af68-4aa9-ac9a-9aba0512bbfc/d0bd14be-edba-4239-b164-fda2f7fcf3cc</t>
  </si>
  <si>
    <t>9d5578b3-14cb-4752-b3c0-7a49054c6e3e/9a0f60d6-785f-4467-ada5-503f1ddb96c4</t>
  </si>
  <si>
    <t>d0bd14be-edba-4239-b164-fda2f7fcf3cc/c1cfecdd-ed53-468e-8a46-d6c5082960b0</t>
  </si>
  <si>
    <t>9a0f60d6-785f-4467-ada5-503f1ddb96c4/fc75c25e-4614-4ec0-8528-b882d76982c5</t>
  </si>
  <si>
    <t>c1cfecdd-ed53-468e-8a46-d6c5082960b0/59d6ed5c-e1a5-40a4-9cd2-64fede7c47ee</t>
  </si>
  <si>
    <t>fc75c25e-4614-4ec0-8528-b882d76982c5/425b6d44-f26d-4521-b737-a8b577bc437d</t>
  </si>
  <si>
    <t>59d6ed5c-e1a5-40a4-9cd2-64fede7c47ee/5560ad51-630a-4c94-9a96-fe45637e19d0</t>
  </si>
  <si>
    <t>Porte des Lilas</t>
  </si>
  <si>
    <t>Saint-Fargeau</t>
  </si>
  <si>
    <t>Pelleport</t>
  </si>
  <si>
    <t>M3BIS</t>
  </si>
  <si>
    <t>ed9de319-e425-4801-b53a-8e42740e5f4b</t>
  </si>
  <si>
    <t>2cf3a892-f374-42e3-b3f0-b7f8de2e4eff</t>
  </si>
  <si>
    <t>07d0c083-a9e7-4f39-8526-50274cac3eb4</t>
  </si>
  <si>
    <t>6af0419d-a071-45c7-931b-59155b7015e3</t>
  </si>
  <si>
    <t>HUMANIZE_DIRECT_LINK</t>
  </si>
  <si>
    <t>Pont de Levallois Bécon / Louise Michel</t>
  </si>
  <si>
    <t>Anatole France / Porte de Champerret</t>
  </si>
  <si>
    <t>Louise Michel / Pereire</t>
  </si>
  <si>
    <t>Porte de Champerret / Wagram</t>
  </si>
  <si>
    <t>Pereire / Malesherbes</t>
  </si>
  <si>
    <t>Wagram / Villiers</t>
  </si>
  <si>
    <t>Malesherbes / Europe</t>
  </si>
  <si>
    <t>Villiers / Saint-Lazare</t>
  </si>
  <si>
    <t>Europe / Havre - Caumartin</t>
  </si>
  <si>
    <t>Porte des Lilas / Pelleport</t>
  </si>
  <si>
    <t>Saint-Fargeau / Gambetta</t>
  </si>
  <si>
    <t>f45eccca-20a6-4114-859f-93224afd9f73</t>
  </si>
  <si>
    <t>d8787d52-05f8-4770-abfc-cb1b3839e5e6</t>
  </si>
  <si>
    <t>d1d23771-c86a-4e7b-9dbd-a035b2afa48a</t>
  </si>
  <si>
    <t>e6aee936-3acc-471d-b108-eb8cc91bf364</t>
  </si>
  <si>
    <t>57462cbc-7eca-4406-a66c-52107e06f2e2</t>
  </si>
  <si>
    <t>26320586-e7af-4abf-bd3a-bd8383359193</t>
  </si>
  <si>
    <t>154524ba-089d-4474-b1cf-9533abbd28b0</t>
  </si>
  <si>
    <t>74958610-ad70-46b3-80e0-64a0a06164d7</t>
  </si>
  <si>
    <t>b72964b7-7ffb-4ca7-8729-baebb0b40c41</t>
  </si>
  <si>
    <t>a2da50b7-0e06-48a7-9902-de0d454aa4f7</t>
  </si>
  <si>
    <t>911b28ae-f78d-4cda-81ba-c97eb31dd9ba</t>
  </si>
  <si>
    <t>48c85a26-a721-453a-aacc-e1258603bfa6</t>
  </si>
  <si>
    <t>c9afc5c0-8386-4ac7-ba16-b78795f4bc30</t>
  </si>
  <si>
    <t>a8285f92-4343-42ec-b41d-5a8e88b53687</t>
  </si>
  <si>
    <t>12706f88-0949-4d87-865e-dc27efd3cda2</t>
  </si>
  <si>
    <t>6f0be043-8753-47a5-af4e-873682e9e557</t>
  </si>
  <si>
    <t>c5c61f9a-c2d7-41d3-9f01-5fde78f60865</t>
  </si>
  <si>
    <t>67e54c11-3701-49de-9b5a-d18be9e90e20</t>
  </si>
  <si>
    <t>d402283d-be4a-4e2d-b2e0-aeaf1abbe134</t>
  </si>
  <si>
    <t>73c193b7-7eb9-41c3-b5e8-74f92bc20b8c</t>
  </si>
  <si>
    <t>a4a70632-c11f-4002-a2d9-e39c82060717</t>
  </si>
  <si>
    <t>ba33f3f8-5a6f-4b43-bec5-80ebc9b8a9e6</t>
  </si>
  <si>
    <t>eb1fb494-48a4-4252-baab-0a5ebc29b41a</t>
  </si>
  <si>
    <t>4996164a-af29-49b5-9701-f6f496d538af</t>
  </si>
  <si>
    <t>1d708958-e2e5-4738-a9dd-6a02a5b6de4a</t>
  </si>
  <si>
    <t>61c65477-c6d8-4918-9f11-286bf3638bd1</t>
  </si>
  <si>
    <t>6d195900-116c-4b85-bcb0-6d6f9bb695bd</t>
  </si>
  <si>
    <t>Porte de Clignancourt</t>
  </si>
  <si>
    <t>Simplon</t>
  </si>
  <si>
    <t>Marcadet - Poissonniers</t>
  </si>
  <si>
    <t>Château Rouge</t>
  </si>
  <si>
    <t>Gare du Nord</t>
  </si>
  <si>
    <t>Gare de l'Est</t>
  </si>
  <si>
    <t>Château d'Eau</t>
  </si>
  <si>
    <t>Strasbourg - Saint-Denis</t>
  </si>
  <si>
    <t>Etienne Marcel</t>
  </si>
  <si>
    <t>Les Halles</t>
  </si>
  <si>
    <t>Cité</t>
  </si>
  <si>
    <t>Saint-Michel</t>
  </si>
  <si>
    <t>Odéon</t>
  </si>
  <si>
    <t>Saint-Germain-des-Prés</t>
  </si>
  <si>
    <t>Saint-Sulpice</t>
  </si>
  <si>
    <t>Saint-Placide</t>
  </si>
  <si>
    <t>Montparnasse - Bienvenüe</t>
  </si>
  <si>
    <t>Vavin</t>
  </si>
  <si>
    <t>Raspail</t>
  </si>
  <si>
    <t>Denfert - Rochereau</t>
  </si>
  <si>
    <t>Mouton - Duvernet</t>
  </si>
  <si>
    <t>Alésia</t>
  </si>
  <si>
    <t>Mairie de Montrouge</t>
  </si>
  <si>
    <t>f45eccca-20a6-4114-859f-93224afd9f73/d1d23771-c86a-4e7b-9dbd-a035b2afa48a</t>
  </si>
  <si>
    <t>d8787d52-05f8-4770-abfc-cb1b3839e5e6/e6aee936-3acc-471d-b108-eb8cc91bf364</t>
  </si>
  <si>
    <t>d1d23771-c86a-4e7b-9dbd-a035b2afa48a/57462cbc-7eca-4406-a66c-52107e06f2e2</t>
  </si>
  <si>
    <t>e6aee936-3acc-471d-b108-eb8cc91bf364/26320586-e7af-4abf-bd3a-bd8383359193</t>
  </si>
  <si>
    <t>57462cbc-7eca-4406-a66c-52107e06f2e2/154524ba-089d-4474-b1cf-9533abbd28b0</t>
  </si>
  <si>
    <t>26320586-e7af-4abf-bd3a-bd8383359193/74958610-ad70-46b3-80e0-64a0a06164d7</t>
  </si>
  <si>
    <t>154524ba-089d-4474-b1cf-9533abbd28b0/b72964b7-7ffb-4ca7-8729-baebb0b40c41</t>
  </si>
  <si>
    <t>74958610-ad70-46b3-80e0-64a0a06164d7/a2da50b7-0e06-48a7-9902-de0d454aa4f7</t>
  </si>
  <si>
    <t>b72964b7-7ffb-4ca7-8729-baebb0b40c41/911b28ae-f78d-4cda-81ba-c97eb31dd9ba</t>
  </si>
  <si>
    <t>a2da50b7-0e06-48a7-9902-de0d454aa4f7/48c85a26-a721-453a-aacc-e1258603bfa6</t>
  </si>
  <si>
    <t>911b28ae-f78d-4cda-81ba-c97eb31dd9ba/c9afc5c0-8386-4ac7-ba16-b78795f4bc30</t>
  </si>
  <si>
    <t>48c85a26-a721-453a-aacc-e1258603bfa6/a8285f92-4343-42ec-b41d-5a8e88b53687</t>
  </si>
  <si>
    <t>c9afc5c0-8386-4ac7-ba16-b78795f4bc30/12706f88-0949-4d87-865e-dc27efd3cda2</t>
  </si>
  <si>
    <t>a8285f92-4343-42ec-b41d-5a8e88b53687/6f0be043-8753-47a5-af4e-873682e9e557</t>
  </si>
  <si>
    <t>12706f88-0949-4d87-865e-dc27efd3cda2/c5c61f9a-c2d7-41d3-9f01-5fde78f60865</t>
  </si>
  <si>
    <t>6f0be043-8753-47a5-af4e-873682e9e557/67e54c11-3701-49de-9b5a-d18be9e90e20</t>
  </si>
  <si>
    <t>c5c61f9a-c2d7-41d3-9f01-5fde78f60865/d402283d-be4a-4e2d-b2e0-aeaf1abbe134</t>
  </si>
  <si>
    <t>67e54c11-3701-49de-9b5a-d18be9e90e20/73c193b7-7eb9-41c3-b5e8-74f92bc20b8c</t>
  </si>
  <si>
    <t>d402283d-be4a-4e2d-b2e0-aeaf1abbe134/a4a70632-c11f-4002-a2d9-e39c82060717</t>
  </si>
  <si>
    <t>73c193b7-7eb9-41c3-b5e8-74f92bc20b8c/ba33f3f8-5a6f-4b43-bec5-80ebc9b8a9e6</t>
  </si>
  <si>
    <t>a4a70632-c11f-4002-a2d9-e39c82060717/eb1fb494-48a4-4252-baab-0a5ebc29b41a</t>
  </si>
  <si>
    <t>ba33f3f8-5a6f-4b43-bec5-80ebc9b8a9e6/4996164a-af29-49b5-9701-f6f496d538af</t>
  </si>
  <si>
    <t>eb1fb494-48a4-4252-baab-0a5ebc29b41a/1d708958-e2e5-4738-a9dd-6a02a5b6de4a</t>
  </si>
  <si>
    <t>4996164a-af29-49b5-9701-f6f496d538af/61c65477-c6d8-4918-9f11-286bf3638bd1</t>
  </si>
  <si>
    <t>1d708958-e2e5-4738-a9dd-6a02a5b6de4a/6d195900-116c-4b85-bcb0-6d6f9bb695bd</t>
  </si>
  <si>
    <t>Porte de Clignancourt / Marcadet - Poissonniers</t>
  </si>
  <si>
    <t>Simplon / Château Rouge</t>
  </si>
  <si>
    <t>Marcadet - Poissonniers / Barbès - Rechechouart</t>
  </si>
  <si>
    <t>Château Rouge / Gare du Nord</t>
  </si>
  <si>
    <t>Barbès - Rechechouart / Gare de l'Est</t>
  </si>
  <si>
    <t>Gare du Nord / Château d'Eau</t>
  </si>
  <si>
    <t>Gare de l'Est / Strasbourg - Saint-Denis</t>
  </si>
  <si>
    <t>Château d'Eau / Réaumur - Sébastopol</t>
  </si>
  <si>
    <t>Strasbourg - Saint-Denis / Etienne Marcel</t>
  </si>
  <si>
    <t>Réaumur - Sébastopol / Les Halles</t>
  </si>
  <si>
    <t>Etienne Marcel / Châtelet</t>
  </si>
  <si>
    <t>Les Halles / Cité</t>
  </si>
  <si>
    <t>Châtelet / Saint-Michel</t>
  </si>
  <si>
    <t>Cité / Odéon</t>
  </si>
  <si>
    <t>Saint-Michel / Saint-Germain-des-Prés</t>
  </si>
  <si>
    <t>Odéon / Saint-Sulpice</t>
  </si>
  <si>
    <t>Saint-Germain-des-Prés / Saint-Placide</t>
  </si>
  <si>
    <t>Saint-Sulpice / Montparnasse - Bienvenüe</t>
  </si>
  <si>
    <t>Saint-Placide / Vavin</t>
  </si>
  <si>
    <t>Montparnasse - Bienvenüe / Raspail</t>
  </si>
  <si>
    <t>Vavin / Denfert - Rochereau</t>
  </si>
  <si>
    <t>Raspail / Mouton - Duvernet</t>
  </si>
  <si>
    <t>Denfert - Rochereau / Alésia</t>
  </si>
  <si>
    <t>Alésia / Mairie de Montrouge</t>
  </si>
  <si>
    <t>a172deef-108f-4889-b274-336bc256ac2f</t>
  </si>
  <si>
    <t>cd313e09-ce5d-409c-8ea8-55cac0dcd5bc</t>
  </si>
  <si>
    <t>72b9bbe5-8fd5-4b24-92ee-d5f0ddada128</t>
  </si>
  <si>
    <t>b1aed7a7-f269-484a-90f5-961cb3c541bb</t>
  </si>
  <si>
    <t>1bf4d462-672a-4ac5-a6ad-6bada09d7286</t>
  </si>
  <si>
    <t>80951edc-35d3-4481-b648-3b9853d91067</t>
  </si>
  <si>
    <t>5ad86ac4-6613-470f-ae8e-51f8397749c8</t>
  </si>
  <si>
    <t>d42d11c4-1641-4bb3-88ff-c40ad18b9089</t>
  </si>
  <si>
    <t>fac704ce-20a3-441a-ad2e-43b9b5c78b0c</t>
  </si>
  <si>
    <t>ba871a49-ba2a-4ef0-bcba-86559c28d894</t>
  </si>
  <si>
    <t>979f7753-6044-4475-826d-9873b9020a51</t>
  </si>
  <si>
    <t>58d37da8-8d48-47cc-961e-0f83ab17777b</t>
  </si>
  <si>
    <t>01aec5d9-209a-454e-8f37-b877f74ffe8a</t>
  </si>
  <si>
    <t>93a26e42-56a8-4918-8c8f-70e7982935be</t>
  </si>
  <si>
    <t>17714f09-edaa-4832-9c2b-25ed3e68ef9b</t>
  </si>
  <si>
    <t>edd840a6-24cb-4415-9324-8e450ffaa381</t>
  </si>
  <si>
    <t>65c83b49-26fb-4371-ae38-8215908be7ff</t>
  </si>
  <si>
    <t>8d8db83e-f6b0-4fa5-90cb-1c202c6d973b</t>
  </si>
  <si>
    <t>7e001018-784d-4f3b-ac17-a1c54b1d00b5</t>
  </si>
  <si>
    <t>56a7621a-e8bb-4851-85cf-d786709ab583</t>
  </si>
  <si>
    <t>9882a61c-1ee8-44aa-a880-89660363666d</t>
  </si>
  <si>
    <t>4ab9c0b8-bda1-434e-96fa-9897fd05fc11</t>
  </si>
  <si>
    <t>1f2da068-67ea-4aa0-bcae-9c95dcc28948</t>
  </si>
  <si>
    <t>c437e277-9249-4a57-9f53-b499650885ba</t>
  </si>
  <si>
    <t>M5</t>
  </si>
  <si>
    <t>Bobigny - Pablo Picasso</t>
  </si>
  <si>
    <t>Bobigny - Pantin - Raymond Queneau</t>
  </si>
  <si>
    <t>Eglise de Pantin</t>
  </si>
  <si>
    <t>Hoche</t>
  </si>
  <si>
    <t>Porte de Pantin</t>
  </si>
  <si>
    <t>Ourcq</t>
  </si>
  <si>
    <t>Laumière</t>
  </si>
  <si>
    <t>Jacques Bonsergent</t>
  </si>
  <si>
    <t>Oberkampf</t>
  </si>
  <si>
    <t>Richard-Lenoir</t>
  </si>
  <si>
    <t>Bréguet - Sabin</t>
  </si>
  <si>
    <t>Quai de la Râpée</t>
  </si>
  <si>
    <t>Gare d'Austerlitz</t>
  </si>
  <si>
    <t>Saint-Marcel</t>
  </si>
  <si>
    <t>Campo-Formio</t>
  </si>
  <si>
    <t>Place d'Italie</t>
  </si>
  <si>
    <t>M6</t>
  </si>
  <si>
    <t>Kléber</t>
  </si>
  <si>
    <t>Boissière</t>
  </si>
  <si>
    <t>Trocadéro</t>
  </si>
  <si>
    <t>Passy</t>
  </si>
  <si>
    <t>Bir-Hakheim</t>
  </si>
  <si>
    <t>Dupleix</t>
  </si>
  <si>
    <t>La Motte-Piquet - Grenelle</t>
  </si>
  <si>
    <t>Cambronne</t>
  </si>
  <si>
    <t>Sévres - Lecourbe</t>
  </si>
  <si>
    <t>Pasteur</t>
  </si>
  <si>
    <t>Edgar Quinet</t>
  </si>
  <si>
    <t>Saint-Jacques</t>
  </si>
  <si>
    <t>Glacière</t>
  </si>
  <si>
    <t>Corvisart</t>
  </si>
  <si>
    <t>Nationale</t>
  </si>
  <si>
    <t>Chevaleret</t>
  </si>
  <si>
    <t>Quai de la Gare</t>
  </si>
  <si>
    <t>Bercy</t>
  </si>
  <si>
    <t>Dugommier</t>
  </si>
  <si>
    <t>Bel-Air</t>
  </si>
  <si>
    <t>Picpus</t>
  </si>
  <si>
    <t>1f2da068-67ea-4aa0-bcae-9c95dcc28948/d7123303-29d4-407d-b36b-c117bf8b2324</t>
  </si>
  <si>
    <t>d7123303-29d4-407d-b36b-c117bf8b2324</t>
  </si>
  <si>
    <t>c437e277-9249-4a57-9f53-b499650885ba/031acf11-25b2-4a06-98b4-5cfe7347daf1</t>
  </si>
  <si>
    <t>031acf11-25b2-4a06-98b4-5cfe7347daf1</t>
  </si>
  <si>
    <t>d7123303-29d4-407d-b36b-c117bf8b2324/93e53aee-eb29-4366-98b1-0dd1447daec5</t>
  </si>
  <si>
    <t>93e53aee-eb29-4366-98b1-0dd1447daec5</t>
  </si>
  <si>
    <t>031acf11-25b2-4a06-98b4-5cfe7347daf1/76e2aa2c-b01f-4e0f-86c3-d08605088205</t>
  </si>
  <si>
    <t>76e2aa2c-b01f-4e0f-86c3-d08605088205</t>
  </si>
  <si>
    <t>93e53aee-eb29-4366-98b1-0dd1447daec5/f13c272f-3d8a-4a7b-842f-0d7415410f97</t>
  </si>
  <si>
    <t>f13c272f-3d8a-4a7b-842f-0d7415410f97</t>
  </si>
  <si>
    <t>76e2aa2c-b01f-4e0f-86c3-d08605088205/43cb2e8d-a03c-4539-975d-48113a7dc1fb</t>
  </si>
  <si>
    <t>43cb2e8d-a03c-4539-975d-48113a7dc1fb</t>
  </si>
  <si>
    <t>f13c272f-3d8a-4a7b-842f-0d7415410f97/e359031e-93f3-4121-901c-1efcf919db2f</t>
  </si>
  <si>
    <t>e359031e-93f3-4121-901c-1efcf919db2f</t>
  </si>
  <si>
    <t>43cb2e8d-a03c-4539-975d-48113a7dc1fb/d1c36fe0-7027-46af-8680-d877c6426ee2</t>
  </si>
  <si>
    <t>d1c36fe0-7027-46af-8680-d877c6426ee2</t>
  </si>
  <si>
    <t>e359031e-93f3-4121-901c-1efcf919db2f/eaadd210-e039-48df-86fa-9f8d61a603d9</t>
  </si>
  <si>
    <t>eaadd210-e039-48df-86fa-9f8d61a603d9</t>
  </si>
  <si>
    <t>d1c36fe0-7027-46af-8680-d877c6426ee2/f4c3281c-5625-4317-8fac-0a7d2b566fc2</t>
  </si>
  <si>
    <t>f4c3281c-5625-4317-8fac-0a7d2b566fc2</t>
  </si>
  <si>
    <t>eaadd210-e039-48df-86fa-9f8d61a603d9/ba55b1b7-623b-432d-a474-40f5a6fc0fad</t>
  </si>
  <si>
    <t>ba55b1b7-623b-432d-a474-40f5a6fc0fad</t>
  </si>
  <si>
    <t>f4c3281c-5625-4317-8fac-0a7d2b566fc2/da728721-895f-43c5-a9e5-91cac3090415</t>
  </si>
  <si>
    <t>da728721-895f-43c5-a9e5-91cac3090415</t>
  </si>
  <si>
    <t>ba55b1b7-623b-432d-a474-40f5a6fc0fad/3def76a3-c0d3-4d2b-999f-c28d4adb2e8f</t>
  </si>
  <si>
    <t>3def76a3-c0d3-4d2b-999f-c28d4adb2e8f</t>
  </si>
  <si>
    <t>da728721-895f-43c5-a9e5-91cac3090415/ed544ed8-535a-4ce1-9430-9546d68747df</t>
  </si>
  <si>
    <t>ed544ed8-535a-4ce1-9430-9546d68747df</t>
  </si>
  <si>
    <t>3def76a3-c0d3-4d2b-999f-c28d4adb2e8f/f7564950-e922-406b-bc65-e5f80bad1576</t>
  </si>
  <si>
    <t>f7564950-e922-406b-bc65-e5f80bad1576</t>
  </si>
  <si>
    <t>ed544ed8-535a-4ce1-9430-9546d68747df/c3ff3def-9e04-4b96-897b-b31320fa9560</t>
  </si>
  <si>
    <t>c3ff3def-9e04-4b96-897b-b31320fa9560</t>
  </si>
  <si>
    <t>f7564950-e922-406b-bc65-e5f80bad1576/60b3084a-256d-4462-965b-d4300723a1e5</t>
  </si>
  <si>
    <t>60b3084a-256d-4462-965b-d4300723a1e5</t>
  </si>
  <si>
    <t>c3ff3def-9e04-4b96-897b-b31320fa9560/7aa3d05a-7558-4796-903e-5309201bd540</t>
  </si>
  <si>
    <t>7aa3d05a-7558-4796-903e-5309201bd540</t>
  </si>
  <si>
    <t>60b3084a-256d-4462-965b-d4300723a1e5/f7be018c-07c3-4d8f-b500-aee8a6758038</t>
  </si>
  <si>
    <t>f7be018c-07c3-4d8f-b500-aee8a6758038</t>
  </si>
  <si>
    <t>7aa3d05a-7558-4796-903e-5309201bd540/30e17dd1-b336-4edc-be27-2792b8d2710d</t>
  </si>
  <si>
    <t>30e17dd1-b336-4edc-be27-2792b8d2710d</t>
  </si>
  <si>
    <t>f7be018c-07c3-4d8f-b500-aee8a6758038/cc8704fb-c908-463c-8159-6e2379666108</t>
  </si>
  <si>
    <t>cc8704fb-c908-463c-8159-6e2379666108</t>
  </si>
  <si>
    <t>30e17dd1-b336-4edc-be27-2792b8d2710d/758e7841-1a49-4e10-9c11-4cb6789edacd</t>
  </si>
  <si>
    <t>758e7841-1a49-4e10-9c11-4cb6789edacd</t>
  </si>
  <si>
    <t>cc8704fb-c908-463c-8159-6e2379666108/33efcd47-ecc6-4752-9e72-cefb278dc89e</t>
  </si>
  <si>
    <t>33efcd47-ecc6-4752-9e72-cefb278dc89e</t>
  </si>
  <si>
    <t>758e7841-1a49-4e10-9c11-4cb6789edacd/27214370-e4c5-46ac-bb59-9d8da592c88f</t>
  </si>
  <si>
    <t>27214370-e4c5-46ac-bb59-9d8da592c88f</t>
  </si>
  <si>
    <t>33efcd47-ecc6-4752-9e72-cefb278dc89e/4acb6b43-e63b-41da-bc4c-7a8609cf16e5</t>
  </si>
  <si>
    <t>4acb6b43-e63b-41da-bc4c-7a8609cf16e5</t>
  </si>
  <si>
    <t>27214370-e4c5-46ac-bb59-9d8da592c88f/ae68412a-5504-4d74-8d80-1e7e95a44d9f</t>
  </si>
  <si>
    <t>ae68412a-5504-4d74-8d80-1e7e95a44d9f</t>
  </si>
  <si>
    <t>M7</t>
  </si>
  <si>
    <t>La Courneuve - 8 Mai 1945</t>
  </si>
  <si>
    <t>Fort d'Aubervilliers</t>
  </si>
  <si>
    <t>Aubervilliers - Pantin - Quatre Chemins</t>
  </si>
  <si>
    <t>Porte de la Villette</t>
  </si>
  <si>
    <t>Corentin Cariou</t>
  </si>
  <si>
    <t>Crimée</t>
  </si>
  <si>
    <t>Riquet</t>
  </si>
  <si>
    <t>Louis Blanc</t>
  </si>
  <si>
    <t>Château-Landon</t>
  </si>
  <si>
    <t>Poissonnière</t>
  </si>
  <si>
    <t>Cadet</t>
  </si>
  <si>
    <t>Le Peletier</t>
  </si>
  <si>
    <t>Chaussée d'Antin - La Fayette</t>
  </si>
  <si>
    <t>Pyramides</t>
  </si>
  <si>
    <t>Pont Neuf</t>
  </si>
  <si>
    <t>Pont Marie</t>
  </si>
  <si>
    <t>Sully - Morland</t>
  </si>
  <si>
    <t>Jussieu</t>
  </si>
  <si>
    <t>Place Monge</t>
  </si>
  <si>
    <t>Censier Daubenton</t>
  </si>
  <si>
    <t>Les Gobelins</t>
  </si>
  <si>
    <t>Tolbiac</t>
  </si>
  <si>
    <t>Maison Blanche</t>
  </si>
  <si>
    <t>Porte d'Italie</t>
  </si>
  <si>
    <t>Porte de Choisy</t>
  </si>
  <si>
    <t>Porte d'Ivry</t>
  </si>
  <si>
    <t>Pierre et Marie Curie</t>
  </si>
  <si>
    <t>Mairie d'Ivry</t>
  </si>
  <si>
    <t>Le Kremlin - Bicêtre</t>
  </si>
  <si>
    <t>Villejuif - Léo Lagrange</t>
  </si>
  <si>
    <t>Villejuif - Paul Vaillant-Couturier</t>
  </si>
  <si>
    <t>Villejuif - Louis Aragon</t>
  </si>
  <si>
    <t>Bobigny - Pablo Picasso / Eglise de Pantin</t>
  </si>
  <si>
    <t>Bobigny - Pantin - Raymond Queneau / Hoche</t>
  </si>
  <si>
    <t>Eglise de Pantin / Porte de Pantin</t>
  </si>
  <si>
    <t>Hoche / Ourcq</t>
  </si>
  <si>
    <t>Porte de Pantin / Laumière</t>
  </si>
  <si>
    <t>Ourcq / Jaurès</t>
  </si>
  <si>
    <t>Laumière / Stalingrad</t>
  </si>
  <si>
    <t>Jaurès / Gare du Nord</t>
  </si>
  <si>
    <t>Stalingrad / Gare de l'Est</t>
  </si>
  <si>
    <t>Gare du Nord / Jacques Bonsergent</t>
  </si>
  <si>
    <t>Gare de l'Est / République</t>
  </si>
  <si>
    <t>Jacques Bonsergent / Oberkampf</t>
  </si>
  <si>
    <t>République / Richard-Lenoir</t>
  </si>
  <si>
    <t>Oberkampf / Bréguet - Sabin</t>
  </si>
  <si>
    <t>Richard-Lenoir / Bastille</t>
  </si>
  <si>
    <t>Bréguet - Sabin / Quai de la Râpée</t>
  </si>
  <si>
    <t>Bastille / Gare d'Austerlitz</t>
  </si>
  <si>
    <t>Quai de la Râpée / Saint-Marcel</t>
  </si>
  <si>
    <t>Gare d'Austerlitz / Campo-Formio</t>
  </si>
  <si>
    <t>Saint-Marcel / Place d'Italie</t>
  </si>
  <si>
    <t>Charles de Gaulle - Etoile / Boissière</t>
  </si>
  <si>
    <t>Kléber / Trocadéro</t>
  </si>
  <si>
    <t>Boissière / Passy</t>
  </si>
  <si>
    <t>Trocadéro / Bir-Hakheim</t>
  </si>
  <si>
    <t>Passy / Dupleix</t>
  </si>
  <si>
    <t>Bir-Hakheim / La Motte-Piquet - Grenelle</t>
  </si>
  <si>
    <t>Dupleix / Cambronne</t>
  </si>
  <si>
    <t>La Motte-Piquet - Grenelle / Sévres - Lecourbe</t>
  </si>
  <si>
    <t>Cambronne / Pasteur</t>
  </si>
  <si>
    <t>Sévres - Lecourbe / Montparnasse - Bienvenüe</t>
  </si>
  <si>
    <t>Pasteur / Edgar Quinet</t>
  </si>
  <si>
    <t>Edgar Quinet / Denfert - Rochereau</t>
  </si>
  <si>
    <t>Raspail / Saint-Jacques</t>
  </si>
  <si>
    <t>Denfert - Rochereau / Glacière</t>
  </si>
  <si>
    <t>Saint-Jacques / Corvisart</t>
  </si>
  <si>
    <t>Glacière / Place d'Italie</t>
  </si>
  <si>
    <t>Corvisart / Nationale</t>
  </si>
  <si>
    <t>Place d'Italie / Chevaleret</t>
  </si>
  <si>
    <t>Nationale / Quai de la Gare</t>
  </si>
  <si>
    <t>Chevaleret / Bercy</t>
  </si>
  <si>
    <t>Quai de la Gare / Dugommier</t>
  </si>
  <si>
    <t>Dugommier / Bel-Air</t>
  </si>
  <si>
    <t>Bel-Air / Nation</t>
  </si>
  <si>
    <t>b7466cd2-1062-4ef1-a8bc-c01b8a106d1f</t>
  </si>
  <si>
    <t>f011b367-77b7-4c03-b63a-c8ae5c6fafa3</t>
  </si>
  <si>
    <t>b7466cd2-1062-4ef1-a8bc-c01b8a106d1f/cf95fa18-973e-40c0-a616-c9d59558b22f</t>
  </si>
  <si>
    <t>cf95fa18-973e-40c0-a616-c9d59558b22f</t>
  </si>
  <si>
    <t>f011b367-77b7-4c03-b63a-c8ae5c6fafa3/60e334fd-e399-48b3-a2da-d95306aa6bde</t>
  </si>
  <si>
    <t>60e334fd-e399-48b3-a2da-d95306aa6bde</t>
  </si>
  <si>
    <t>cf95fa18-973e-40c0-a616-c9d59558b22f/2ef6381b-4da7-499d-a30d-593505692b2f</t>
  </si>
  <si>
    <t>2ef6381b-4da7-499d-a30d-593505692b2f</t>
  </si>
  <si>
    <t>60e334fd-e399-48b3-a2da-d95306aa6bde/36dfacce-996a-41cf-86fa-11783b821d05</t>
  </si>
  <si>
    <t>36dfacce-996a-41cf-86fa-11783b821d05</t>
  </si>
  <si>
    <t>2ef6381b-4da7-499d-a30d-593505692b2f/7a1abb55-0e84-4bfc-b250-5825eb671c8c</t>
  </si>
  <si>
    <t>7a1abb55-0e84-4bfc-b250-5825eb671c8c</t>
  </si>
  <si>
    <t>36dfacce-996a-41cf-86fa-11783b821d05/eed6aec9-53ed-42e5-bb4c-b695b4571f82</t>
  </si>
  <si>
    <t>eed6aec9-53ed-42e5-bb4c-b695b4571f82</t>
  </si>
  <si>
    <t>7a1abb55-0e84-4bfc-b250-5825eb671c8c/5e36d407-7375-4399-8286-2438214f9725</t>
  </si>
  <si>
    <t>5e36d407-7375-4399-8286-2438214f9725</t>
  </si>
  <si>
    <t>eed6aec9-53ed-42e5-bb4c-b695b4571f82/972d75b1-8a40-4ef5-ba37-a4e83162d02a</t>
  </si>
  <si>
    <t>972d75b1-8a40-4ef5-ba37-a4e83162d02a</t>
  </si>
  <si>
    <t>5e36d407-7375-4399-8286-2438214f9725/c5202f62-6a57-44bb-b057-422e3454ee38</t>
  </si>
  <si>
    <t>c5202f62-6a57-44bb-b057-422e3454ee38</t>
  </si>
  <si>
    <t>972d75b1-8a40-4ef5-ba37-a4e83162d02a/d8850a9e-5419-4051-8b8a-c515a3b9c3a2</t>
  </si>
  <si>
    <t>d8850a9e-5419-4051-8b8a-c515a3b9c3a2</t>
  </si>
  <si>
    <t>c5202f62-6a57-44bb-b057-422e3454ee38/1fda4799-6798-4c5c-9594-04c34b8024da</t>
  </si>
  <si>
    <t>1fda4799-6798-4c5c-9594-04c34b8024da</t>
  </si>
  <si>
    <t>d8850a9e-5419-4051-8b8a-c515a3b9c3a2/328c2fa9-8a9f-4b0b-a4d4-9cfc2b3787f2</t>
  </si>
  <si>
    <t>328c2fa9-8a9f-4b0b-a4d4-9cfc2b3787f2</t>
  </si>
  <si>
    <t>1fda4799-6798-4c5c-9594-04c34b8024da/817870c1-d954-41de-926c-72dd4c8e4eeb</t>
  </si>
  <si>
    <t>817870c1-d954-41de-926c-72dd4c8e4eeb</t>
  </si>
  <si>
    <t>328c2fa9-8a9f-4b0b-a4d4-9cfc2b3787f2/4e145214-f40c-4cf3-b4aa-76e0c987ff49</t>
  </si>
  <si>
    <t>4e145214-f40c-4cf3-b4aa-76e0c987ff49</t>
  </si>
  <si>
    <t>817870c1-d954-41de-926c-72dd4c8e4eeb/d9826fce-40f6-4c37-98a9-f09e3de33bd2</t>
  </si>
  <si>
    <t>d9826fce-40f6-4c37-98a9-f09e3de33bd2</t>
  </si>
  <si>
    <t>4e145214-f40c-4cf3-b4aa-76e0c987ff49/0f5796bf-b157-4c46-9427-f9071fc75312</t>
  </si>
  <si>
    <t>0f5796bf-b157-4c46-9427-f9071fc75312</t>
  </si>
  <si>
    <t>d9826fce-40f6-4c37-98a9-f09e3de33bd2/27e3286a-d4bb-418f-a973-c2f843201e4a</t>
  </si>
  <si>
    <t>27e3286a-d4bb-418f-a973-c2f843201e4a</t>
  </si>
  <si>
    <t>0f5796bf-b157-4c46-9427-f9071fc75312/9046fec1-7211-4c22-bdc3-f28e5aff4f2a</t>
  </si>
  <si>
    <t>9046fec1-7211-4c22-bdc3-f28e5aff4f2a</t>
  </si>
  <si>
    <t>27e3286a-d4bb-418f-a973-c2f843201e4a/96ccc5b7-dfca-4b67-8912-e9f144e4f0b8</t>
  </si>
  <si>
    <t>96ccc5b7-dfca-4b67-8912-e9f144e4f0b8</t>
  </si>
  <si>
    <t>9046fec1-7211-4c22-bdc3-f28e5aff4f2a/cc60fc70-a0e1-44ca-b0d2-7c5aaf2bb761</t>
  </si>
  <si>
    <t>cc60fc70-a0e1-44ca-b0d2-7c5aaf2bb761</t>
  </si>
  <si>
    <t>96ccc5b7-dfca-4b67-8912-e9f144e4f0b8/7069efeb-bc47-4edf-bda1-82d5f4787e58</t>
  </si>
  <si>
    <t>7069efeb-bc47-4edf-bda1-82d5f4787e58</t>
  </si>
  <si>
    <t>cc60fc70-a0e1-44ca-b0d2-7c5aaf2bb761/79b04856-e340-4c50-8358-fb946ec65095</t>
  </si>
  <si>
    <t>79b04856-e340-4c50-8358-fb946ec65095</t>
  </si>
  <si>
    <t>7069efeb-bc47-4edf-bda1-82d5f4787e58/6d6b6937-0ecd-4e41-916d-3b756bd7a041</t>
  </si>
  <si>
    <t>6d6b6937-0ecd-4e41-916d-3b756bd7a041</t>
  </si>
  <si>
    <t>79b04856-e340-4c50-8358-fb946ec65095/8340f9f1-977c-4eb8-bd20-24ad28847bc7</t>
  </si>
  <si>
    <t>8340f9f1-977c-4eb8-bd20-24ad28847bc7</t>
  </si>
  <si>
    <t>6d6b6937-0ecd-4e41-916d-3b756bd7a041/9cc8c832-0b9a-4960-8b00-bf69bd1424ab</t>
  </si>
  <si>
    <t>9cc8c832-0b9a-4960-8b00-bf69bd1424ab</t>
  </si>
  <si>
    <t>8340f9f1-977c-4eb8-bd20-24ad28847bc7/89955209-9e05-4936-b935-ce002b119ffd</t>
  </si>
  <si>
    <t>89955209-9e05-4936-b935-ce002b119ffd</t>
  </si>
  <si>
    <t>9cc8c832-0b9a-4960-8b00-bf69bd1424ab/0b14e413-a0b1-45fb-8170-a7d50d4b6461</t>
  </si>
  <si>
    <t>0b14e413-a0b1-45fb-8170-a7d50d4b6461</t>
  </si>
  <si>
    <t>89955209-9e05-4936-b935-ce002b119ffd/07372633-832e-4c75-902b-975bae2c2dd2/a7378aa1-6fea-4a6d-bfb6-75e379e66bf2</t>
  </si>
  <si>
    <t>07372633-832e-4c75-902b-975bae2c2dd2</t>
  </si>
  <si>
    <t>0b14e413-a0b1-45fb-8170-a7d50d4b6461/31d6de51-e073-48f9-a9c5-59ad322019ff</t>
  </si>
  <si>
    <t>31d6de51-e073-48f9-a9c5-59ad322019ff</t>
  </si>
  <si>
    <t>07372633-832e-4c75-902b-975bae2c2dd2/b010b770-f802-4990-98c1-884401bee0e8</t>
  </si>
  <si>
    <t>b010b770-f802-4990-98c1-884401bee0e8</t>
  </si>
  <si>
    <t>31d6de51-e073-48f9-a9c5-59ad322019ff/6ace4581-1c73-425d-81ce-b2dceae26a91</t>
  </si>
  <si>
    <t>6ace4581-1c73-425d-81ce-b2dceae26a91</t>
  </si>
  <si>
    <t>b010b770-f802-4990-98c1-884401bee0e8/6b79ba58-9fc2-462c-9bec-dd6a77fbd72a</t>
  </si>
  <si>
    <t>6b79ba58-9fc2-462c-9bec-dd6a77fbd72a</t>
  </si>
  <si>
    <t>a7378aa1-6fea-4a6d-bfb6-75e379e66bf2</t>
  </si>
  <si>
    <t>0b14e413-a0b1-45fb-8170-a7d50d4b6461/5749252d-700f-4976-bf15-754b7909451c</t>
  </si>
  <si>
    <t>5749252d-700f-4976-bf15-754b7909451c</t>
  </si>
  <si>
    <t>a7378aa1-6fea-4a6d-bfb6-75e379e66bf2/1532119f-7f5e-423c-a2f7-db0e6b4e8e4c</t>
  </si>
  <si>
    <t>1532119f-7f5e-423c-a2f7-db0e6b4e8e4c</t>
  </si>
  <si>
    <t>La Courneuve - 8 Mai 1945 / Aubervilliers - Pantin - Quatre Chemins</t>
  </si>
  <si>
    <t>Fort d'Aubervilliers / Porte de la Villette</t>
  </si>
  <si>
    <t>Aubervilliers - Pantin - Quatre Chemins / Corentin Cariou</t>
  </si>
  <si>
    <t>Porte de la Villette / Crimée</t>
  </si>
  <si>
    <t>Corentin Cariou / Riquet</t>
  </si>
  <si>
    <t>Crimée / Stalingrad</t>
  </si>
  <si>
    <t>Riquet / Louis Blanc</t>
  </si>
  <si>
    <t>Stalingrad / Château-Landon</t>
  </si>
  <si>
    <t>Louis Blanc / Gare de l'Est</t>
  </si>
  <si>
    <t>Château-Landon / Poissonnière</t>
  </si>
  <si>
    <t>Gare de l'Est / Cadet</t>
  </si>
  <si>
    <t>Poissonnière / Le Peletier</t>
  </si>
  <si>
    <t>Cadet / Chaussée d'Antin - La Fayette</t>
  </si>
  <si>
    <t>Le Peletier / Opéra</t>
  </si>
  <si>
    <t>Chaussée d'Antin - La Fayette / Pyramides</t>
  </si>
  <si>
    <t>Pyramides / Pont Neuf</t>
  </si>
  <si>
    <t>Pont Neuf / Pont Marie</t>
  </si>
  <si>
    <t>Châtelet / Sully - Morland</t>
  </si>
  <si>
    <t>Pont Marie / Jussieu</t>
  </si>
  <si>
    <t>Sully - Morland / Place Monge</t>
  </si>
  <si>
    <t>Jussieu / Censier Daubenton</t>
  </si>
  <si>
    <t>Place Monge / Les Gobelins</t>
  </si>
  <si>
    <t>Censier Daubenton / Place d'Italie</t>
  </si>
  <si>
    <t>Les Gobelins / Tolbiac</t>
  </si>
  <si>
    <t>Place d'Italie / Maison Blanche</t>
  </si>
  <si>
    <t>Tolbiac / Porte d'Italie / Le Kremlin - Bicêtre</t>
  </si>
  <si>
    <t>Maison Blanche / Porte de Choisy</t>
  </si>
  <si>
    <t>Porte d'Italie / Porte d'Ivry</t>
  </si>
  <si>
    <t>Porte de Choisy / Pierre et Marie Curie</t>
  </si>
  <si>
    <t>Porte d'Ivry / Mairie d'Ivry</t>
  </si>
  <si>
    <t>Maison Blanche / Villejuif - Léo Lagrange</t>
  </si>
  <si>
    <t>Le Kremlin - Bicêtre / Villejuif - Paul Vaillant-Couturier</t>
  </si>
  <si>
    <t>c70516f4-ea24-4cd6-8270-293358f1350b</t>
  </si>
  <si>
    <t>5749252d-700f-4976-bf15-754b7909451c/c70516f4-ea24-4cd6-8270-293358f1350b</t>
  </si>
  <si>
    <t>Villejuif - Léo Lagrange / Villejuif - Louis Aragon</t>
  </si>
  <si>
    <t>M7BIS</t>
  </si>
  <si>
    <t>e7bab5a6-d571-4233-8abb-568b0a0df76b</t>
  </si>
  <si>
    <t>132489eb-4061-402f-9ba5-50755201633c</t>
  </si>
  <si>
    <t>f2854df6-abe0-49f1-bccf-43596611bae5</t>
  </si>
  <si>
    <t>bd60d06b-6e24-4bc6-a61d-7cb42140cfb9</t>
  </si>
  <si>
    <t>4bbb64d2-55cb-4576-b70c-3777b789dd03</t>
  </si>
  <si>
    <t>5cbb007d-8b80-4788-999d-d285d54ba325</t>
  </si>
  <si>
    <t>b0159fb7-cc52-43e7-92e9-c4b3d21f2b92</t>
  </si>
  <si>
    <t>98f2d262-eeea-4515-808a-db431fa208bc</t>
  </si>
  <si>
    <t>0a5ea39e-e669-4770-be27-651690edd9d9</t>
  </si>
  <si>
    <t>f5335d21-d7ad-4ab9-bc63-86d5cbb0e474</t>
  </si>
  <si>
    <t>98eb1899-bebf-4241-800b-2d3574733c8a</t>
  </si>
  <si>
    <t>7b4d56f3-471d-40c9-bed7-52f6eba01b6c</t>
  </si>
  <si>
    <t>ce409036-a084-4365-8f0a-b0cb0520d077</t>
  </si>
  <si>
    <t>418bdc65-4b7d-443f-a024-1200bc1b5557</t>
  </si>
  <si>
    <t>605879b3-3e75-486a-8d99-7e6a6614809b</t>
  </si>
  <si>
    <t>d2b3b690-3816-4b8c-aa62-24917648d62d</t>
  </si>
  <si>
    <t>d522db49-61de-402c-a168-0f16bfcf8e8f</t>
  </si>
  <si>
    <t>39cd89b6-2ed3-4ef5-ac7c-e5903f131c96</t>
  </si>
  <si>
    <t>ea285362-8547-46d3-9477-931b470d0f79</t>
  </si>
  <si>
    <t>6f37ba26-77e1-4105-8840-a3ca42c98c1e</t>
  </si>
  <si>
    <t>9935d16b-398e-4b71-81eb-c2fadd07a4ab</t>
  </si>
  <si>
    <t>d87b4a39-5067-4466-8765-23a177d692e5</t>
  </si>
  <si>
    <t>bea4f9bd-c26b-47cf-b37d-b373220a32a4</t>
  </si>
  <si>
    <t>6014b488-6855-4d24-9291-e4a40fe4cde0</t>
  </si>
  <si>
    <t>b15b689a-f391-4a2c-8727-0073778518ed</t>
  </si>
  <si>
    <t>7006e1f8-4bc7-4f7c-9b72-1be9c3ebc47e</t>
  </si>
  <si>
    <t>c3c94791-c81d-4bd0-aed8-dd858c1947ca</t>
  </si>
  <si>
    <t>0501d5fd-3876-4734-811c-81cfecf5be13</t>
  </si>
  <si>
    <t>453339c2-ccb9-482b-92aa-03e6b29e613d</t>
  </si>
  <si>
    <t>72d5c10b-eef1-4d6b-8764-568a4dfe57fe</t>
  </si>
  <si>
    <t>169febff-1b63-44eb-978f-400f67d02125</t>
  </si>
  <si>
    <t>7645c3cc-86f7-4312-ba31-a2ebe9038ee3</t>
  </si>
  <si>
    <t>92f7d062-8188-48c2-a14b-e3472522efc1</t>
  </si>
  <si>
    <t>e35c326a-0b77-4b12-9da6-79789ce2a5c4</t>
  </si>
  <si>
    <t>08910f40-ddb5-40a7-884c-a2c9c7070054</t>
  </si>
  <si>
    <t>a036f675-ab4d-4096-bfa2-de5c78d9e4f7</t>
  </si>
  <si>
    <t>a809871f-e266-43c2-baf3-133b134805f3</t>
  </si>
  <si>
    <t>76ce7521-778e-4a8c-b8ac-38c7d2bef55d</t>
  </si>
  <si>
    <t>b20e640f-c2e3-4ed8-9a06-6aef2dfca451</t>
  </si>
  <si>
    <t>594e152f-840b-454b-a5de-ebc570d55d06</t>
  </si>
  <si>
    <t>a167312b-b88b-47a3-8f6f-925b3a70d6a7</t>
  </si>
  <si>
    <t>19584eb2-62ad-4fe3-bac1-22af2eb5a679</t>
  </si>
  <si>
    <t>fed166b5-d6b1-44bd-9e24-1d23da0e12a5</t>
  </si>
  <si>
    <t>4d5c04fa-e4c0-4163-b408-8c4230a32d5a</t>
  </si>
  <si>
    <t>8ce7ebbc-6abe-4f49-a278-702a0443370c</t>
  </si>
  <si>
    <t>a3093a0a-b2c1-4bbf-9aed-295215cbf8f2</t>
  </si>
  <si>
    <t>97b91d0e-3882-41d3-bdbb-ce8cb50144f0</t>
  </si>
  <si>
    <t>13c41adc-2502-4b2f-b7bd-d76360664528</t>
  </si>
  <si>
    <t>1feb8620-6d9d-4cc2-bef7-79a24eff8bfc</t>
  </si>
  <si>
    <t>a19bb1ed-5164-4a3e-82e2-8736b844d6b6</t>
  </si>
  <si>
    <t>94d12ccc-31a5-4da4-9ed4-44da0588947a</t>
  </si>
  <si>
    <t>f3aab47b-024e-4644-b9dd-058a089c2a76</t>
  </si>
  <si>
    <t>a95f7f34-baa5-49a5-96e4-7dd6b16aaa8b</t>
  </si>
  <si>
    <t>3239b99f-00a4-4ecb-8722-702ad5470a2f</t>
  </si>
  <si>
    <t>cd9992f4-dfd1-46f3-aaad-28c9c54f0ed3</t>
  </si>
  <si>
    <t>62182295-a2c2-4829-bd4b-ad7d28fa8398</t>
  </si>
  <si>
    <t>7a08b690-4780-4b6d-b7ef-6f44ee94ed9a</t>
  </si>
  <si>
    <t>00419aee-1c76-4f1e-bda0-e0e3eac65898</t>
  </si>
  <si>
    <t>ae753c7a-8e67-409a-97fc-0a2ab4a66b63</t>
  </si>
  <si>
    <t>ef8e5821-f769-443a-a146-345e709cf109</t>
  </si>
  <si>
    <t>833f96c2-0da1-47b2-a6f6-9c1e50dcc47d</t>
  </si>
  <si>
    <t>e841c0c0-7b2a-4da9-9779-06f0c99a7b07</t>
  </si>
  <si>
    <t>47bf9b32-5909-4fd3-9608-5ee76110a305</t>
  </si>
  <si>
    <t>9acb92c2-faac-4d7d-a10d-2c54b3cf3cc9</t>
  </si>
  <si>
    <t>63537095-223a-42b6-8a26-1e2ad70aa283</t>
  </si>
  <si>
    <t>ec6e5c91-fccf-4c94-a5fc-5f5f25d8594d</t>
  </si>
  <si>
    <t>80c2301d-e86a-4d08-8a3e-a74718dd76bb</t>
  </si>
  <si>
    <t>98957eff-0f88-46ef-b5a9-da35963b9b82</t>
  </si>
  <si>
    <t>65ebc1f8-2355-4dbd-997d-5c060dcb3773</t>
  </si>
  <si>
    <t>e7e5d05f-8f22-433a-8219-791a337d4bef</t>
  </si>
  <si>
    <t>1616e4eb-50f4-4073-b7c4-ddf714264278</t>
  </si>
  <si>
    <t>62e62d2c-89c1-4d2a-b35f-da04b9e79a2c</t>
  </si>
  <si>
    <t>fdb60f78-1eac-43e7-a8b0-5cd6845e3843</t>
  </si>
  <si>
    <t>a1e61df2-3e6e-4ad7-b4e2-583a7c0e77f6</t>
  </si>
  <si>
    <t>44ab4ba5-6853-430e-8431-e13df403753a</t>
  </si>
  <si>
    <t>0848372f-263b-4116-9575-b66a8eeb6ec3</t>
  </si>
  <si>
    <t>68cf43b0-06f8-4a86-a6fd-2bdaffc8f49f</t>
  </si>
  <si>
    <t>6df8b304-fd48-45d0-9b4f-1ea7f1987c3c</t>
  </si>
  <si>
    <t>b89c5ac6-45be-483f-99be-bfb9fa5f5bce</t>
  </si>
  <si>
    <t>b19203ad-f4b6-42fd-84fb-f26468121b72</t>
  </si>
  <si>
    <t>c5cb5cd6-902b-4a9d-a059-18d679aa9f7f</t>
  </si>
  <si>
    <t>28fe3626-46ca-4281-a3f9-d72de91f8be6</t>
  </si>
  <si>
    <t>b91afbc5-7932-45ce-8662-1a47faaacbab</t>
  </si>
  <si>
    <t>63544981-bb7c-4209-bea7-102072fedbc2</t>
  </si>
  <si>
    <t>50e043bb-43cd-41a3-927c-2fb4b82bf83d</t>
  </si>
  <si>
    <t>aed0b90e-658e-4f41-8daf-163dd961de57</t>
  </si>
  <si>
    <t>b88c58c3-b9ad-4f01-a810-403dfdcff170</t>
  </si>
  <si>
    <t>50d08b2a-2260-4b57-9999-de955b44c36c</t>
  </si>
  <si>
    <t>3ab35ee9-604d-4eac-a941-29c2c867f53d</t>
  </si>
  <si>
    <t>6366dff0-b4a0-4ba3-8124-6f38ec415484</t>
  </si>
  <si>
    <t>7d3a8da5-cd04-43b4-9031-f96af785a084</t>
  </si>
  <si>
    <t>9100a9b6-a5d0-4b72-a1de-76015ffd541e</t>
  </si>
  <si>
    <t>31491e7d-de5f-486d-8cb2-538c20c78908</t>
  </si>
  <si>
    <t>Bolivar</t>
  </si>
  <si>
    <t>Buttes Chaumont</t>
  </si>
  <si>
    <t>Botzaris</t>
  </si>
  <si>
    <t>Danube</t>
  </si>
  <si>
    <t>Place des Fêtes</t>
  </si>
  <si>
    <t>Pré Saint-Gervais</t>
  </si>
  <si>
    <t>Louis Blanc / Bolivar</t>
  </si>
  <si>
    <t>Jaurès / Buttes Chaumont</t>
  </si>
  <si>
    <t>Bolivar / Botzaris</t>
  </si>
  <si>
    <t>Buttes Chaumont / Danube / Place des Fêtes</t>
  </si>
  <si>
    <t>Botzaris / Pré Saint-Gervais</t>
  </si>
  <si>
    <t>Pré Saint-Gervais / Botzaris</t>
  </si>
  <si>
    <t>Place des Fêtes / Danube</t>
  </si>
  <si>
    <t>e7bab5a6-d571-4233-8abb-568b0a0df76b/f2854df6-abe0-49f1-bccf-43596611bae5</t>
  </si>
  <si>
    <t>132489eb-4061-402f-9ba5-50755201633c/bd60d06b-6e24-4bc6-a61d-7cb42140cfb9</t>
  </si>
  <si>
    <t>f2854df6-abe0-49f1-bccf-43596611bae5/4bbb64d2-55cb-4576-b70c-3777b789dd03</t>
  </si>
  <si>
    <t>bd60d06b-6e24-4bc6-a61d-7cb42140cfb9/5cbb007d-8b80-4788-999d-d285d54ba325/b0159fb7-cc52-43e7-92e9-c4b3d21f2b92</t>
  </si>
  <si>
    <t>4bbb64d2-55cb-4576-b70c-3777b789dd03/98f2d262-eeea-4515-808a-db431fa208bc</t>
  </si>
  <si>
    <t>98f2d262-eeea-4515-808a-db431fa208bc/4bbb64d2-55cb-4576-b70c-3777b789dd03</t>
  </si>
  <si>
    <t>b0159fb7-cc52-43e7-92e9-c4b3d21f2b92/5cbb007d-8b80-4788-999d-d285d54ba325</t>
  </si>
  <si>
    <t>M8</t>
  </si>
  <si>
    <t>Balard</t>
  </si>
  <si>
    <t>Lourmet</t>
  </si>
  <si>
    <t>Bousicaut</t>
  </si>
  <si>
    <t>Félix Faure</t>
  </si>
  <si>
    <t>Commerce</t>
  </si>
  <si>
    <t>Ecole Militaire</t>
  </si>
  <si>
    <t>La Tour-Maubourg</t>
  </si>
  <si>
    <t>Invalides</t>
  </si>
  <si>
    <t>Madeleine</t>
  </si>
  <si>
    <t>Richelieu - Drouot</t>
  </si>
  <si>
    <t>Grands Boulevards</t>
  </si>
  <si>
    <t>Bonne Nouvelle</t>
  </si>
  <si>
    <t>Filles du Calvaire</t>
  </si>
  <si>
    <t>Saint-Sébastien - Froissart</t>
  </si>
  <si>
    <t>Chemin Vert</t>
  </si>
  <si>
    <t>Ledru-Rollin</t>
  </si>
  <si>
    <t>Faidherbe - Chaligny</t>
  </si>
  <si>
    <t>Montgallet</t>
  </si>
  <si>
    <t>Dausmenil</t>
  </si>
  <si>
    <t>Michel Bizot</t>
  </si>
  <si>
    <t>Porte Dorée</t>
  </si>
  <si>
    <t>Porte de Charenton</t>
  </si>
  <si>
    <t>Liberté</t>
  </si>
  <si>
    <t>Charenton - Ecoles</t>
  </si>
  <si>
    <t>Ecole Vétérinaire de Maison-Alfort</t>
  </si>
  <si>
    <t>Maison-Alfort - Stade</t>
  </si>
  <si>
    <t>Maison-Alfort - Les Juilliotes</t>
  </si>
  <si>
    <t>Créteil - L'Echat</t>
  </si>
  <si>
    <t>Créteil - Université</t>
  </si>
  <si>
    <t>Créteil - Préfecture</t>
  </si>
  <si>
    <t>Pointe du Lac</t>
  </si>
  <si>
    <t>0a5ea39e-e669-4770-be27-651690edd9d9/98eb1899-bebf-4241-800b-2d3574733c8a</t>
  </si>
  <si>
    <t>f5335d21-d7ad-4ab9-bc63-86d5cbb0e474/7b4d56f3-471d-40c9-bed7-52f6eba01b6c</t>
  </si>
  <si>
    <t>98eb1899-bebf-4241-800b-2d3574733c8a/ce409036-a084-4365-8f0a-b0cb0520d077</t>
  </si>
  <si>
    <t>7b4d56f3-471d-40c9-bed7-52f6eba01b6c/418bdc65-4b7d-443f-a024-1200bc1b5557</t>
  </si>
  <si>
    <t>ce409036-a084-4365-8f0a-b0cb0520d077/605879b3-3e75-486a-8d99-7e6a6614809b</t>
  </si>
  <si>
    <t>418bdc65-4b7d-443f-a024-1200bc1b5557/d2b3b690-3816-4b8c-aa62-24917648d62d</t>
  </si>
  <si>
    <t>605879b3-3e75-486a-8d99-7e6a6614809b/d522db49-61de-402c-a168-0f16bfcf8e8f</t>
  </si>
  <si>
    <t>d2b3b690-3816-4b8c-aa62-24917648d62d/39cd89b6-2ed3-4ef5-ac7c-e5903f131c96</t>
  </si>
  <si>
    <t>d522db49-61de-402c-a168-0f16bfcf8e8f/ea285362-8547-46d3-9477-931b470d0f79</t>
  </si>
  <si>
    <t>39cd89b6-2ed3-4ef5-ac7c-e5903f131c96/6f37ba26-77e1-4105-8840-a3ca42c98c1e</t>
  </si>
  <si>
    <t>ea285362-8547-46d3-9477-931b470d0f79/9935d16b-398e-4b71-81eb-c2fadd07a4ab</t>
  </si>
  <si>
    <t>6f37ba26-77e1-4105-8840-a3ca42c98c1e/d87b4a39-5067-4466-8765-23a177d692e5</t>
  </si>
  <si>
    <t>9935d16b-398e-4b71-81eb-c2fadd07a4ab/bea4f9bd-c26b-47cf-b37d-b373220a32a4</t>
  </si>
  <si>
    <t>d87b4a39-5067-4466-8765-23a177d692e5/6014b488-6855-4d24-9291-e4a40fe4cde0</t>
  </si>
  <si>
    <t>bea4f9bd-c26b-47cf-b37d-b373220a32a4/b15b689a-f391-4a2c-8727-0073778518ed</t>
  </si>
  <si>
    <t>6014b488-6855-4d24-9291-e4a40fe4cde0/7006e1f8-4bc7-4f7c-9b72-1be9c3ebc47e</t>
  </si>
  <si>
    <t>b15b689a-f391-4a2c-8727-0073778518ed/c3c94791-c81d-4bd0-aed8-dd858c1947ca</t>
  </si>
  <si>
    <t>7006e1f8-4bc7-4f7c-9b72-1be9c3ebc47e/0501d5fd-3876-4734-811c-81cfecf5be13</t>
  </si>
  <si>
    <t>c3c94791-c81d-4bd0-aed8-dd858c1947ca/453339c2-ccb9-482b-92aa-03e6b29e613d</t>
  </si>
  <si>
    <t>0501d5fd-3876-4734-811c-81cfecf5be13/72d5c10b-eef1-4d6b-8764-568a4dfe57fe</t>
  </si>
  <si>
    <t>453339c2-ccb9-482b-92aa-03e6b29e613d/169febff-1b63-44eb-978f-400f67d02125</t>
  </si>
  <si>
    <t>72d5c10b-eef1-4d6b-8764-568a4dfe57fe/7645c3cc-86f7-4312-ba31-a2ebe9038ee3</t>
  </si>
  <si>
    <t>169febff-1b63-44eb-978f-400f67d02125/92f7d062-8188-48c2-a14b-e3472522efc1</t>
  </si>
  <si>
    <t>7645c3cc-86f7-4312-ba31-a2ebe9038ee3/e35c326a-0b77-4b12-9da6-79789ce2a5c4</t>
  </si>
  <si>
    <t>92f7d062-8188-48c2-a14b-e3472522efc1/08910f40-ddb5-40a7-884c-a2c9c7070054</t>
  </si>
  <si>
    <t>e35c326a-0b77-4b12-9da6-79789ce2a5c4/a036f675-ab4d-4096-bfa2-de5c78d9e4f7</t>
  </si>
  <si>
    <t>08910f40-ddb5-40a7-884c-a2c9c7070054/a809871f-e266-43c2-baf3-133b134805f3</t>
  </si>
  <si>
    <t>a036f675-ab4d-4096-bfa2-de5c78d9e4f7/76ce7521-778e-4a8c-b8ac-38c7d2bef55d</t>
  </si>
  <si>
    <t>a809871f-e266-43c2-baf3-133b134805f3/b20e640f-c2e3-4ed8-9a06-6aef2dfca451</t>
  </si>
  <si>
    <t>76ce7521-778e-4a8c-b8ac-38c7d2bef55d/594e152f-840b-454b-a5de-ebc570d55d06</t>
  </si>
  <si>
    <t>b20e640f-c2e3-4ed8-9a06-6aef2dfca451/a167312b-b88b-47a3-8f6f-925b3a70d6a7</t>
  </si>
  <si>
    <t>594e152f-840b-454b-a5de-ebc570d55d06/19584eb2-62ad-4fe3-bac1-22af2eb5a679</t>
  </si>
  <si>
    <t>a167312b-b88b-47a3-8f6f-925b3a70d6a7/fed166b5-d6b1-44bd-9e24-1d23da0e12a5</t>
  </si>
  <si>
    <t>19584eb2-62ad-4fe3-bac1-22af2eb5a679/4d5c04fa-e4c0-4163-b408-8c4230a32d5a</t>
  </si>
  <si>
    <t>fed166b5-d6b1-44bd-9e24-1d23da0e12a5/8ce7ebbc-6abe-4f49-a278-702a0443370c</t>
  </si>
  <si>
    <t>4d5c04fa-e4c0-4163-b408-8c4230a32d5a/a3093a0a-b2c1-4bbf-9aed-295215cbf8f2</t>
  </si>
  <si>
    <t>Bercy / Dausmenil</t>
  </si>
  <si>
    <t>Dausmenil / Picpus</t>
  </si>
  <si>
    <t>Balard / Bousicaut</t>
  </si>
  <si>
    <t>Lourmet / Félix Faure</t>
  </si>
  <si>
    <t>Bousicaut / Commerce</t>
  </si>
  <si>
    <t>Félix Faure / La Motte-Piquet - Grenelle</t>
  </si>
  <si>
    <t>Commerce / Ecole Militaire</t>
  </si>
  <si>
    <t>La Motte-Piquet - Grenelle / La Tour-Maubourg</t>
  </si>
  <si>
    <t>Ecole Militaire / Invalides</t>
  </si>
  <si>
    <t>La Tour-Maubourg / Concorde</t>
  </si>
  <si>
    <t>Invalides / Madeleine</t>
  </si>
  <si>
    <t>Concorde / Opéra</t>
  </si>
  <si>
    <t>Madeleine / Richelieu - Drouot</t>
  </si>
  <si>
    <t>Opéra / Grands Boulevards</t>
  </si>
  <si>
    <t>Richelieu - Drouot / Bonne Nouvelle</t>
  </si>
  <si>
    <t>Grands Boulevards / Strasbourg - Saint-Denis</t>
  </si>
  <si>
    <t>Bonne Nouvelle / République</t>
  </si>
  <si>
    <t>Strasbourg - Saint-Denis / Filles du Calvaire</t>
  </si>
  <si>
    <t>République / Saint-Sébastien - Froissart</t>
  </si>
  <si>
    <t>Filles du Calvaire / Chemin Vert</t>
  </si>
  <si>
    <t>Saint-Sébastien - Froissart / Bastille</t>
  </si>
  <si>
    <t>Chemin Vert / Ledru-Rollin</t>
  </si>
  <si>
    <t>Bastille / Faidherbe - Chaligny</t>
  </si>
  <si>
    <t>Ledru-Rollin / Reuilly - Diderot</t>
  </si>
  <si>
    <t>Faidherbe - Chaligny / Montgallet</t>
  </si>
  <si>
    <t>Reuilly - Diderot / Dausmenil</t>
  </si>
  <si>
    <t>Montgallet / Michel Bizot</t>
  </si>
  <si>
    <t>Dausmenil / Porte Dorée</t>
  </si>
  <si>
    <t>Michel Bizot / Porte de Charenton</t>
  </si>
  <si>
    <t>Porte Dorée / Liberté</t>
  </si>
  <si>
    <t>Porte de Charenton / Charenton - Ecoles</t>
  </si>
  <si>
    <t>Liberté / Ecole Vétérinaire de Maison-Alfort</t>
  </si>
  <si>
    <t>Charenton - Ecoles / Maison-Alfort - Stade</t>
  </si>
  <si>
    <t>Ecole Vétérinaire de Maison-Alfort / Maison-Alfort - Les Juilliotes</t>
  </si>
  <si>
    <t>Maison-Alfort - Stade / Créteil - L'Echat</t>
  </si>
  <si>
    <t>Maison-Alfort - Les Juilliotes / Créteil - Université</t>
  </si>
  <si>
    <t>Créteil - L'Echat / Créteil - Préfecture</t>
  </si>
  <si>
    <t>Créteil - Université / Pointe du Lac</t>
  </si>
  <si>
    <t>Pont de Sèvres</t>
  </si>
  <si>
    <t>Billancourt</t>
  </si>
  <si>
    <t>Marcel Sambat</t>
  </si>
  <si>
    <t>Porte de Saint-Cloud</t>
  </si>
  <si>
    <t>Exelmans</t>
  </si>
  <si>
    <t>Michel-Ange - Molitor</t>
  </si>
  <si>
    <t>Michel-Ange - Auteil</t>
  </si>
  <si>
    <t>Jasmin</t>
  </si>
  <si>
    <t>Ranelagh</t>
  </si>
  <si>
    <t>M9</t>
  </si>
  <si>
    <t>La Muette</t>
  </si>
  <si>
    <t>Rue de la Pompe</t>
  </si>
  <si>
    <t>Iéna</t>
  </si>
  <si>
    <t>Alma - Marceau</t>
  </si>
  <si>
    <t>Saint-Philippe-du-Roule</t>
  </si>
  <si>
    <t>Miromesnil</t>
  </si>
  <si>
    <t>Saint-Augustin</t>
  </si>
  <si>
    <t>Saint-Ambroise</t>
  </si>
  <si>
    <t>Voltaire</t>
  </si>
  <si>
    <t>Charonne</t>
  </si>
  <si>
    <t>Rue des Boules</t>
  </si>
  <si>
    <t>Buzenval</t>
  </si>
  <si>
    <t>Maraîchers</t>
  </si>
  <si>
    <t>Porte de Montreuil</t>
  </si>
  <si>
    <t>Robespierre</t>
  </si>
  <si>
    <t>Croix de Chavaux</t>
  </si>
  <si>
    <t>Mairie de Montreuil</t>
  </si>
  <si>
    <t>97b91d0e-3882-41d3-bdbb-ce8cb50144f0/1feb8620-6d9d-4cc2-bef7-79a24eff8bfc</t>
  </si>
  <si>
    <t>13c41adc-2502-4b2f-b7bd-d76360664528/a19bb1ed-5164-4a3e-82e2-8736b844d6b6</t>
  </si>
  <si>
    <t>1feb8620-6d9d-4cc2-bef7-79a24eff8bfc/94d12ccc-31a5-4da4-9ed4-44da0588947a</t>
  </si>
  <si>
    <t>a19bb1ed-5164-4a3e-82e2-8736b844d6b6/f3aab47b-024e-4644-b9dd-058a089c2a76</t>
  </si>
  <si>
    <t>94d12ccc-31a5-4da4-9ed4-44da0588947a/a95f7f34-baa5-49a5-96e4-7dd6b16aaa8b</t>
  </si>
  <si>
    <t>f3aab47b-024e-4644-b9dd-058a089c2a76/3239b99f-00a4-4ecb-8722-702ad5470a2f</t>
  </si>
  <si>
    <t>a95f7f34-baa5-49a5-96e4-7dd6b16aaa8b/cd9992f4-dfd1-46f3-aaad-28c9c54f0ed3</t>
  </si>
  <si>
    <t>3239b99f-00a4-4ecb-8722-702ad5470a2f/62182295-a2c2-4829-bd4b-ad7d28fa8398</t>
  </si>
  <si>
    <t>cd9992f4-dfd1-46f3-aaad-28c9c54f0ed3/7a08b690-4780-4b6d-b7ef-6f44ee94ed9a</t>
  </si>
  <si>
    <t>62182295-a2c2-4829-bd4b-ad7d28fa8398/00419aee-1c76-4f1e-bda0-e0e3eac65898</t>
  </si>
  <si>
    <t>7a08b690-4780-4b6d-b7ef-6f44ee94ed9a/ae753c7a-8e67-409a-97fc-0a2ab4a66b63</t>
  </si>
  <si>
    <t>00419aee-1c76-4f1e-bda0-e0e3eac65898/ef8e5821-f769-443a-a146-345e709cf109</t>
  </si>
  <si>
    <t>ae753c7a-8e67-409a-97fc-0a2ab4a66b63/833f96c2-0da1-47b2-a6f6-9c1e50dcc47d</t>
  </si>
  <si>
    <t>ef8e5821-f769-443a-a146-345e709cf109/e841c0c0-7b2a-4da9-9779-06f0c99a7b07</t>
  </si>
  <si>
    <t>833f96c2-0da1-47b2-a6f6-9c1e50dcc47d/47bf9b32-5909-4fd3-9608-5ee76110a305</t>
  </si>
  <si>
    <t>e841c0c0-7b2a-4da9-9779-06f0c99a7b07/9acb92c2-faac-4d7d-a10d-2c54b3cf3cc9</t>
  </si>
  <si>
    <t>47bf9b32-5909-4fd3-9608-5ee76110a305/63537095-223a-42b6-8a26-1e2ad70aa283</t>
  </si>
  <si>
    <t>9acb92c2-faac-4d7d-a10d-2c54b3cf3cc9/ec6e5c91-fccf-4c94-a5fc-5f5f25d8594d</t>
  </si>
  <si>
    <t>63537095-223a-42b6-8a26-1e2ad70aa283/80c2301d-e86a-4d08-8a3e-a74718dd76bb</t>
  </si>
  <si>
    <t>ec6e5c91-fccf-4c94-a5fc-5f5f25d8594d/98957eff-0f88-46ef-b5a9-da35963b9b82</t>
  </si>
  <si>
    <t>80c2301d-e86a-4d08-8a3e-a74718dd76bb/65ebc1f8-2355-4dbd-997d-5c060dcb3773</t>
  </si>
  <si>
    <t>98957eff-0f88-46ef-b5a9-da35963b9b82/e7e5d05f-8f22-433a-8219-791a337d4bef</t>
  </si>
  <si>
    <t>65ebc1f8-2355-4dbd-997d-5c060dcb3773/1616e4eb-50f4-4073-b7c4-ddf714264278</t>
  </si>
  <si>
    <t>e7e5d05f-8f22-433a-8219-791a337d4bef/62e62d2c-89c1-4d2a-b35f-da04b9e79a2c</t>
  </si>
  <si>
    <t>1616e4eb-50f4-4073-b7c4-ddf714264278/fdb60f78-1eac-43e7-a8b0-5cd6845e3843</t>
  </si>
  <si>
    <t>62e62d2c-89c1-4d2a-b35f-da04b9e79a2c/a1e61df2-3e6e-4ad7-b4e2-583a7c0e77f6</t>
  </si>
  <si>
    <t>fdb60f78-1eac-43e7-a8b0-5cd6845e3843/44ab4ba5-6853-430e-8431-e13df403753a</t>
  </si>
  <si>
    <t>a1e61df2-3e6e-4ad7-b4e2-583a7c0e77f6/0848372f-263b-4116-9575-b66a8eeb6ec3</t>
  </si>
  <si>
    <t>44ab4ba5-6853-430e-8431-e13df403753a/68cf43b0-06f8-4a86-a6fd-2bdaffc8f49f</t>
  </si>
  <si>
    <t>0848372f-263b-4116-9575-b66a8eeb6ec3/6df8b304-fd48-45d0-9b4f-1ea7f1987c3c</t>
  </si>
  <si>
    <t>68cf43b0-06f8-4a86-a6fd-2bdaffc8f49f/b89c5ac6-45be-483f-99be-bfb9fa5f5bce</t>
  </si>
  <si>
    <t>6df8b304-fd48-45d0-9b4f-1ea7f1987c3c/b19203ad-f4b6-42fd-84fb-f26468121b72</t>
  </si>
  <si>
    <t>b89c5ac6-45be-483f-99be-bfb9fa5f5bce/c5cb5cd6-902b-4a9d-a059-18d679aa9f7f</t>
  </si>
  <si>
    <t>b19203ad-f4b6-42fd-84fb-f26468121b72/28fe3626-46ca-4281-a3f9-d72de91f8be6</t>
  </si>
  <si>
    <t>c5cb5cd6-902b-4a9d-a059-18d679aa9f7f/b91afbc5-7932-45ce-8662-1a47faaacbab</t>
  </si>
  <si>
    <t>738f1322-411b-4cf5-a367-1ba41f472b1f</t>
  </si>
  <si>
    <t>40f7c26a-32f5-4347-b52f-e2590c5309c0</t>
  </si>
  <si>
    <t>e7a1d7d5-cc67-4779-8966-6459923b20ab</t>
  </si>
  <si>
    <t>dd85eee2-fac8-4e34-b28b-675745f03dcf</t>
  </si>
  <si>
    <t>7dd56423-1d0e-48be-a157-d20a8a363f73</t>
  </si>
  <si>
    <t>00c3130b-1af0-4ee8-a111-913dba77c1a0</t>
  </si>
  <si>
    <t>02040ce7-ca49-4639-8f91-54f65df79ee7</t>
  </si>
  <si>
    <t>0ac00d16-b248-455d-b8b7-ca38205c13c8</t>
  </si>
  <si>
    <t>210f6272-d028-4394-9f3b-151ceca81043</t>
  </si>
  <si>
    <t>496acafa-f128-499e-9df6-de4721da1c2b</t>
  </si>
  <si>
    <t>3b879b61-66f0-458a-b736-cd6fe06b58a5</t>
  </si>
  <si>
    <t>6429e188-69bb-4dc7-8b46-c704e72841b1</t>
  </si>
  <si>
    <t>dbdbbb8b-724e-4cb7-af3f-a8d4094d0b87</t>
  </si>
  <si>
    <t>51b86454-e062-49fc-b7f8-784b20e66b71</t>
  </si>
  <si>
    <t>f75c89cf-60d4-49d0-9c7f-746a897b8ff1</t>
  </si>
  <si>
    <t>67a9e5c5-145f-4912-9520-ba5b689b7785</t>
  </si>
  <si>
    <t>f1ad70bd-5d00-43df-8f2f-d403a99954e8</t>
  </si>
  <si>
    <t>4210c802-0926-44df-a4a3-150a0081b1aa</t>
  </si>
  <si>
    <t>0781e432-ee8b-4a7d-805d-6402004e8a85</t>
  </si>
  <si>
    <t>ae3b3a1f-8fc7-490e-b87e-04e0ee595633</t>
  </si>
  <si>
    <t>d86f7504-b630-4e13-91bc-a4396bb40a01</t>
  </si>
  <si>
    <t>f327c7c3-fd0f-498d-9955-fc5767c24166</t>
  </si>
  <si>
    <t>67d64876-9e73-4261-a091-9498c168fa6b</t>
  </si>
  <si>
    <t>2f7ffcbd-6ec8-47c7-951c-6e03298a828c</t>
  </si>
  <si>
    <t>f919412c-bc73-4a31-af28-dcf96fdf5de3</t>
  </si>
  <si>
    <t>23d4d43e-f60c-4a5c-9adb-45b88cba4c61</t>
  </si>
  <si>
    <t>29203577-26e0-4c0f-8968-e590c17c8c56</t>
  </si>
  <si>
    <t>a9f5921b-636b-4aae-a36e-aaee08d66ae6</t>
  </si>
  <si>
    <t>e8a7c66f-1db1-41fc-97a0-519752af401e</t>
  </si>
  <si>
    <t>f37a9c7c-c379-4820-97ef-c39c0d28d64c</t>
  </si>
  <si>
    <t>b6292394-33ed-4d42-99af-fc759816f47c</t>
  </si>
  <si>
    <t>7f8d6d80-c775-4d3e-8b40-968297a53ed8</t>
  </si>
  <si>
    <t>8290b734-bb90-4c7a-9c3a-9926a5e25ff3</t>
  </si>
  <si>
    <t>6b0bd413-e2b1-444b-b1c9-419640459c9b</t>
  </si>
  <si>
    <t>b4178126-b9be-48a5-9da9-4995be3d924e</t>
  </si>
  <si>
    <t>8a09c6fb-8dfd-4029-9c54-3dbd1de1dbe3</t>
  </si>
  <si>
    <t>c74b2c33-d410-4540-aa4b-6dca528df34b</t>
  </si>
  <si>
    <t>ad8f3b37-7952-4a80-8c25-4f4a98604018</t>
  </si>
  <si>
    <t>52b3674d-e0dd-4997-ac4d-149e2874e0f9</t>
  </si>
  <si>
    <t>c9d4c0ba-ec0c-4707-9efe-06b988e4c967</t>
  </si>
  <si>
    <t>c21253f0-3656-4e03-8a6f-d881b4602cf6</t>
  </si>
  <si>
    <t>d68d0af9-d830-4d79-966b-ff20ed103c5c</t>
  </si>
  <si>
    <t>34e3b10f-a0b2-47fb-859f-726999a23ea2</t>
  </si>
  <si>
    <t>e8c03204-0343-4fc5-ad3f-c45cbf5ce11b</t>
  </si>
  <si>
    <t>749f5b88-6fa2-4965-85ca-685b45f66e25</t>
  </si>
  <si>
    <t>56f37902-496a-4972-8020-d9013b6b1a63</t>
  </si>
  <si>
    <t>2b37d9be-e1e2-433b-a78f-eea8f1e01ffd</t>
  </si>
  <si>
    <t>7f4eee61-63d3-4585-bec2-9f50d878c46f</t>
  </si>
  <si>
    <t>66ae66fd-d41c-445b-b949-446c507ab783</t>
  </si>
  <si>
    <t>b6c6c012-4d4a-442e-8229-1e085610d1ce</t>
  </si>
  <si>
    <t>b8eb7c7e-f1a0-4cc2-a9c2-4e645968d298</t>
  </si>
  <si>
    <t>a1d0c8bf-3d74-4bd4-8353-4908580d1d91</t>
  </si>
  <si>
    <t>6b32d616-b653-4c28-8e36-87c8a5541940</t>
  </si>
  <si>
    <t>fc879346-c702-422d-9ca0-d525a85dbc1c</t>
  </si>
  <si>
    <t>f6c0832c-5a37-47de-9809-664a8c4a3cb6</t>
  </si>
  <si>
    <t>1a8b84ed-371b-439e-a7b7-72c6a064d3c6</t>
  </si>
  <si>
    <t>0b2dac6d-bb06-407a-815d-5b8b3d54e846</t>
  </si>
  <si>
    <t>03581468-f245-49d3-8681-cc1c5df8d34b</t>
  </si>
  <si>
    <t>e91dc804-2da0-40ce-aea7-1f64f40ca129</t>
  </si>
  <si>
    <t>b03a3253-ea80-4ff6-9e63-d7d526bfa194</t>
  </si>
  <si>
    <t>7e5a1dd4-9b90-4989-b44a-6b35f8a13f14</t>
  </si>
  <si>
    <t>6874ad8d-3d67-423b-b872-fd0093484c73</t>
  </si>
  <si>
    <t>4c1e833f-c363-4d65-a2b5-811c652f0fef</t>
  </si>
  <si>
    <t>64f589f5-2b5a-4d91-ac43-68ca31730a14</t>
  </si>
  <si>
    <t>57094566-b93a-457e-b065-5a0ecb8604d6</t>
  </si>
  <si>
    <t>50af193c-1baa-4b7b-a7f1-c846edf34f88</t>
  </si>
  <si>
    <t>bb95460c-169a-4af7-915c-ca9ee0d5077f</t>
  </si>
  <si>
    <t>ce294054-6da6-4c65-9bff-ba634799d39c</t>
  </si>
  <si>
    <t>0af924e5-a348-452d-b952-42cceda89966</t>
  </si>
  <si>
    <t>0538c6d9-110e-4e78-95ea-c54f47c25e1d</t>
  </si>
  <si>
    <t>463ebbb5-4290-48dc-b2c9-333c4f007b62</t>
  </si>
  <si>
    <t>891ef774-ed18-49c2-813e-624a98ea2dc1</t>
  </si>
  <si>
    <t>a08250b1-c397-4629-b8da-815f942f38d9</t>
  </si>
  <si>
    <t>5a295015-670d-4d85-a5c8-f3150e050d6b</t>
  </si>
  <si>
    <t>72748398-d735-4a8b-8cb0-3cfb9b92a50a</t>
  </si>
  <si>
    <t>8d12cf08-e2a9-4127-baec-01b3d1a1a216</t>
  </si>
  <si>
    <t>602f7ed3-bcf1-4286-a47c-258266973dde</t>
  </si>
  <si>
    <t>3a46d4c0-2768-4e83-a0f2-d9fdda27a386</t>
  </si>
  <si>
    <t>4fb786d9-73a9-4037-b134-1d2c19703a90</t>
  </si>
  <si>
    <t>79cf121c-863e-4ac0-afc5-a9175956951b</t>
  </si>
  <si>
    <t>85b044f3-3154-4295-a60f-702556a53a43</t>
  </si>
  <si>
    <t>568e8d77-7151-448c-b08c-badbd95a3e22</t>
  </si>
  <si>
    <t>2ab83e03-da24-4495-b838-072af3db041a</t>
  </si>
  <si>
    <t>d19b565d-ff83-4e07-aa16-232d25b57d64</t>
  </si>
  <si>
    <t>a9e4878d-035a-467b-8715-75098d61b77d</t>
  </si>
  <si>
    <t>c7db3972-1b0b-4202-a9ef-1dcb33069525</t>
  </si>
  <si>
    <t>a69d56f6-038e-493c-8226-6a6b1bcf1d05</t>
  </si>
  <si>
    <t>22df1bb1-c6ab-4788-8194-fd97d494e025</t>
  </si>
  <si>
    <t>0b8bfbc4-adf6-4dac-b354-e81b05daf694</t>
  </si>
  <si>
    <t>5bca94f6-e392-4061-825a-88847ad43c11</t>
  </si>
  <si>
    <t>ed251a9b-af7e-444d-8b9e-f5e693175d45</t>
  </si>
  <si>
    <t>a0c023ae-d3b3-467e-ba8d-c74e923b74dd</t>
  </si>
  <si>
    <t>9ad44e7a-f9be-49f3-a3b5-c6ca35946be5</t>
  </si>
  <si>
    <t>M10</t>
  </si>
  <si>
    <t>Boulogne - Pont de Saint-Cloud</t>
  </si>
  <si>
    <t>Boulogne - Jean Jaurès</t>
  </si>
  <si>
    <t>Porte d'Auteil</t>
  </si>
  <si>
    <t>Eglise d'Auteil</t>
  </si>
  <si>
    <t>Chardon Lagache</t>
  </si>
  <si>
    <t>Mirabeau</t>
  </si>
  <si>
    <t>Javel - André Citroën</t>
  </si>
  <si>
    <t>Charles Michels</t>
  </si>
  <si>
    <t>Avenue Emise-Zola</t>
  </si>
  <si>
    <t>Ségur</t>
  </si>
  <si>
    <t>Duroc</t>
  </si>
  <si>
    <t>Vaneau</t>
  </si>
  <si>
    <t>Mabillon</t>
  </si>
  <si>
    <t>Cluny - La Sorbonne</t>
  </si>
  <si>
    <t>Maubert - Mutualité</t>
  </si>
  <si>
    <t>Cardinal Lemoine</t>
  </si>
  <si>
    <t>63544981-bb7c-4209-bea7-102072fedbc2/aed0b90e-658e-4f41-8daf-163dd961de57/3ab35ee9-604d-4eac-a941-29c2c867f53d</t>
  </si>
  <si>
    <t>50e043bb-43cd-41a3-927c-2fb4b82bf83d/b88c58c3-b9ad-4f01-a810-403dfdcff170</t>
  </si>
  <si>
    <t>aed0b90e-658e-4f41-8daf-163dd961de57/50d08b2a-2260-4b57-9999-de955b44c36c</t>
  </si>
  <si>
    <t>b88c58c3-b9ad-4f01-a810-403dfdcff170/9100a9b6-a5d0-4b72-a1de-76015ffd541e</t>
  </si>
  <si>
    <t>50e043bb-43cd-41a3-927c-2fb4b82bf83d/6366dff0-b4a0-4ba3-8124-6f38ec415484</t>
  </si>
  <si>
    <t>3ab35ee9-604d-4eac-a941-29c2c867f53d/7d3a8da5-cd04-43b4-9031-f96af785a084</t>
  </si>
  <si>
    <t>6366dff0-b4a0-4ba3-8124-6f38ec415484/9100a9b6-a5d0-4b72-a1de-76015ffd541e</t>
  </si>
  <si>
    <t>7d3a8da5-cd04-43b4-9031-f96af785a084/50d08b2a-2260-4b57-9999-de955b44c36c/31491e7d-de5f-486d-8cb2-538c20c78908</t>
  </si>
  <si>
    <t>31491e7d-de5f-486d-8cb2-538c20c78908/738f1322-411b-4cf5-a367-1ba41f472b1f</t>
  </si>
  <si>
    <t>738f1322-411b-4cf5-a367-1ba41f472b1f/e7a1d7d5-cc67-4779-8966-6459923b20ab</t>
  </si>
  <si>
    <t>40f7c26a-32f5-4347-b52f-e2590c5309c0/dd85eee2-fac8-4e34-b28b-675745f03dcf</t>
  </si>
  <si>
    <t>e7a1d7d5-cc67-4779-8966-6459923b20ab/7dd56423-1d0e-48be-a157-d20a8a363f73</t>
  </si>
  <si>
    <t>dd85eee2-fac8-4e34-b28b-675745f03dcf/00c3130b-1af0-4ee8-a111-913dba77c1a0</t>
  </si>
  <si>
    <t>7dd56423-1d0e-48be-a157-d20a8a363f73/02040ce7-ca49-4639-8f91-54f65df79ee7</t>
  </si>
  <si>
    <t>00c3130b-1af0-4ee8-a111-913dba77c1a0/0ac00d16-b248-455d-b8b7-ca38205c13c8</t>
  </si>
  <si>
    <t>02040ce7-ca49-4639-8f91-54f65df79ee7/210f6272-d028-4394-9f3b-151ceca81043</t>
  </si>
  <si>
    <t>0ac00d16-b248-455d-b8b7-ca38205c13c8/496acafa-f128-499e-9df6-de4721da1c2b</t>
  </si>
  <si>
    <t>210f6272-d028-4394-9f3b-151ceca81043/3b879b61-66f0-458a-b736-cd6fe06b58a5</t>
  </si>
  <si>
    <t>496acafa-f128-499e-9df6-de4721da1c2b/6429e188-69bb-4dc7-8b46-c704e72841b1</t>
  </si>
  <si>
    <t>M11</t>
  </si>
  <si>
    <t>Hôtel de ville</t>
  </si>
  <si>
    <t>Rambuteau</t>
  </si>
  <si>
    <t>Goncourt</t>
  </si>
  <si>
    <t>Pyrénées</t>
  </si>
  <si>
    <t>Jourdain</t>
  </si>
  <si>
    <t>Télégraphe</t>
  </si>
  <si>
    <t>Mairie des Lilas</t>
  </si>
  <si>
    <t>dbdbbb8b-724e-4cb7-af3f-a8d4094d0b87/f75c89cf-60d4-49d0-9c7f-746a897b8ff1</t>
  </si>
  <si>
    <t>51b86454-e062-49fc-b7f8-784b20e66b71/67a9e5c5-145f-4912-9520-ba5b689b7785</t>
  </si>
  <si>
    <t>f75c89cf-60d4-49d0-9c7f-746a897b8ff1/f1ad70bd-5d00-43df-8f2f-d403a99954e8</t>
  </si>
  <si>
    <t>67a9e5c5-145f-4912-9520-ba5b689b7785/4210c802-0926-44df-a4a3-150a0081b1aa</t>
  </si>
  <si>
    <t>f1ad70bd-5d00-43df-8f2f-d403a99954e8/0781e432-ee8b-4a7d-805d-6402004e8a85</t>
  </si>
  <si>
    <t>4210c802-0926-44df-a4a3-150a0081b1aa/ae3b3a1f-8fc7-490e-b87e-04e0ee595633</t>
  </si>
  <si>
    <t>0781e432-ee8b-4a7d-805d-6402004e8a85/d86f7504-b630-4e13-91bc-a4396bb40a01</t>
  </si>
  <si>
    <t>ae3b3a1f-8fc7-490e-b87e-04e0ee595633/f327c7c3-fd0f-498d-9955-fc5767c24166</t>
  </si>
  <si>
    <t>d86f7504-b630-4e13-91bc-a4396bb40a01/67d64876-9e73-4261-a091-9498c168fa6b</t>
  </si>
  <si>
    <t>f327c7c3-fd0f-498d-9955-fc5767c24166/2f7ffcbd-6ec8-47c7-951c-6e03298a828c</t>
  </si>
  <si>
    <t>67d64876-9e73-4261-a091-9498c168fa6b/f919412c-bc73-4a31-af28-dcf96fdf5de3</t>
  </si>
  <si>
    <t>Pont de Sèvres / Marcel Sambat</t>
  </si>
  <si>
    <t>Billancourt / Porte de Saint-Cloud</t>
  </si>
  <si>
    <t>Marcel Sambat / Exelmans</t>
  </si>
  <si>
    <t>Porte de Saint-Cloud / Michel-Ange - Molitor</t>
  </si>
  <si>
    <t>Exelmans / Michel-Ange - Auteil</t>
  </si>
  <si>
    <t>Michel-Ange - Molitor / Jasmin</t>
  </si>
  <si>
    <t>Michel-Ange - Auteil / Ranelagh</t>
  </si>
  <si>
    <t>Jasmin / La Muette</t>
  </si>
  <si>
    <t>Ranelagh / Rue de la Pompe</t>
  </si>
  <si>
    <t>La Muette / Trocadéro</t>
  </si>
  <si>
    <t>Rue de la Pompe / Iéna</t>
  </si>
  <si>
    <t>Trocadéro / Alma - Marceau</t>
  </si>
  <si>
    <t>Iéna / Franklin D. Roosevelt</t>
  </si>
  <si>
    <t>Alma - Marceau / Saint-Philippe-du-Roule</t>
  </si>
  <si>
    <t>Franklin D. Roosevelt / Miromesnil</t>
  </si>
  <si>
    <t>Saint-Philippe-du-Roule / Havre - Caumartin</t>
  </si>
  <si>
    <t>Miromesnil / Saint-Augustin</t>
  </si>
  <si>
    <t>Havre - Caumartin / Chaussée d'Antin - La Fayette</t>
  </si>
  <si>
    <t>Saint-Augustin / Richelieu - Drouot</t>
  </si>
  <si>
    <t>Chaussée d'Antin - La Fayette / Grands Boulevards</t>
  </si>
  <si>
    <t>Strasbourg - Saint-Denis / Oberkampf</t>
  </si>
  <si>
    <t>République / Saint-Ambroise</t>
  </si>
  <si>
    <t>Oberkampf / Voltaire</t>
  </si>
  <si>
    <t>Saint-Ambroise / Charonne</t>
  </si>
  <si>
    <t>Voltaire / Rue des Boules</t>
  </si>
  <si>
    <t>Charonne / Nation</t>
  </si>
  <si>
    <t>Rue des Boules / Buzenval</t>
  </si>
  <si>
    <t>Nation / Maraîchers</t>
  </si>
  <si>
    <t>Buzenval / Porte de Montreuil</t>
  </si>
  <si>
    <t>Maraîchers / Robespierre</t>
  </si>
  <si>
    <t>Porte de Montreuil / Croix de Chavaux</t>
  </si>
  <si>
    <t>Robespierre / Mairie de Montreuil</t>
  </si>
  <si>
    <t>Boulogne - Pont de Saint-Cloud / Porte d'Auteil / Michel-Ange - Molitor</t>
  </si>
  <si>
    <t>Boulogne - Jean Jaurès / Michel-Ange - Auteil</t>
  </si>
  <si>
    <t>Porte d'Auteil / Eglise d'Auteil</t>
  </si>
  <si>
    <t>Michel-Ange - Auteil / Javel - André Citroën</t>
  </si>
  <si>
    <t>Boulogne - Jean Jaurès / Chardon Lagache</t>
  </si>
  <si>
    <t>Michel-Ange - Molitor / Mirabeau</t>
  </si>
  <si>
    <t>Chardon Lagache / Javel - André Citroën</t>
  </si>
  <si>
    <t>Mirabeau / Eglise d'Auteil / Charles Michels</t>
  </si>
  <si>
    <t>Charles Michels / La Motte-Piquet - Grenelle</t>
  </si>
  <si>
    <t>La Motte-Piquet - Grenelle / Duroc</t>
  </si>
  <si>
    <t>Ségur / Vaneau</t>
  </si>
  <si>
    <t>Vaneau / Mabillon</t>
  </si>
  <si>
    <t>Mabillon / Cluny - La Sorbonne</t>
  </si>
  <si>
    <t>Odéon / Maubert - Mutualité</t>
  </si>
  <si>
    <t>Cluny - La Sorbonne / Cardinal Lemoine</t>
  </si>
  <si>
    <t>Maubert - Mutualité / Jussieu</t>
  </si>
  <si>
    <t>Cardinal Lemoine / Gare d'Austerlitz</t>
  </si>
  <si>
    <t>Châtelet / Rambuteau</t>
  </si>
  <si>
    <t>Hôtel de ville / Arts et Métiers</t>
  </si>
  <si>
    <t>Rambuteau / République</t>
  </si>
  <si>
    <t>Arts et Métiers / Goncourt</t>
  </si>
  <si>
    <t>République / Belleville</t>
  </si>
  <si>
    <t>Goncourt / Pyrénées</t>
  </si>
  <si>
    <t>Belleville / Jourdain</t>
  </si>
  <si>
    <t>Pyrénées / Place des Fêtes</t>
  </si>
  <si>
    <t>Jourdain / Télégraphe</t>
  </si>
  <si>
    <t>Place des Fêtes / Porte des Lilas</t>
  </si>
  <si>
    <t>Télégraphe / Mairie des Lilas</t>
  </si>
  <si>
    <t>M12</t>
  </si>
  <si>
    <t>Front Populaire</t>
  </si>
  <si>
    <t>Porte de la Chapelle</t>
  </si>
  <si>
    <t>Marx Dormoy</t>
  </si>
  <si>
    <t>Jules Joffrin</t>
  </si>
  <si>
    <t>Lamarck - Caulaincourt</t>
  </si>
  <si>
    <t>Abbesses</t>
  </si>
  <si>
    <t>Saint-Georges</t>
  </si>
  <si>
    <t>Notre-Dame-de-Lorette</t>
  </si>
  <si>
    <t>Trinité - d'Estienne d'Orves</t>
  </si>
  <si>
    <t>Assemblée nationale</t>
  </si>
  <si>
    <t>Solférino</t>
  </si>
  <si>
    <t>Rue du Bac</t>
  </si>
  <si>
    <t>Sèvres - Babylone</t>
  </si>
  <si>
    <t>Rennes</t>
  </si>
  <si>
    <t>Notre-Dame-des-Champs</t>
  </si>
  <si>
    <t>Falguière</t>
  </si>
  <si>
    <t>Volontaires</t>
  </si>
  <si>
    <t>Vaugirard</t>
  </si>
  <si>
    <t>Convention</t>
  </si>
  <si>
    <t>Porte de Versailles</t>
  </si>
  <si>
    <t>Corentin Celton</t>
  </si>
  <si>
    <t>Mairie d'Issy</t>
  </si>
  <si>
    <t>Sèvres - Lecourbe</t>
  </si>
  <si>
    <t>23d4d43e-f60c-4a5c-9adb-45b88cba4c61/a9f5921b-636b-4aae-a36e-aaee08d66ae6</t>
  </si>
  <si>
    <t>29203577-26e0-4c0f-8968-e590c17c8c56/e8a7c66f-1db1-41fc-97a0-519752af401e</t>
  </si>
  <si>
    <t>a9f5921b-636b-4aae-a36e-aaee08d66ae6/f37a9c7c-c379-4820-97ef-c39c0d28d64c</t>
  </si>
  <si>
    <t>e8a7c66f-1db1-41fc-97a0-519752af401e/b6292394-33ed-4d42-99af-fc759816f47c</t>
  </si>
  <si>
    <t>f37a9c7c-c379-4820-97ef-c39c0d28d64c/7f8d6d80-c775-4d3e-8b40-968297a53ed8</t>
  </si>
  <si>
    <t>b6292394-33ed-4d42-99af-fc759816f47c/8290b734-bb90-4c7a-9c3a-9926a5e25ff3</t>
  </si>
  <si>
    <t>7f8d6d80-c775-4d3e-8b40-968297a53ed8/6b0bd413-e2b1-444b-b1c9-419640459c9b</t>
  </si>
  <si>
    <t>8290b734-bb90-4c7a-9c3a-9926a5e25ff3/b4178126-b9be-48a5-9da9-4995be3d924e</t>
  </si>
  <si>
    <t>6b0bd413-e2b1-444b-b1c9-419640459c9b/8a09c6fb-8dfd-4029-9c54-3dbd1de1dbe3</t>
  </si>
  <si>
    <t>b4178126-b9be-48a5-9da9-4995be3d924e/c74b2c33-d410-4540-aa4b-6dca528df34b</t>
  </si>
  <si>
    <t>8a09c6fb-8dfd-4029-9c54-3dbd1de1dbe3/ad8f3b37-7952-4a80-8c25-4f4a98604018</t>
  </si>
  <si>
    <t>c74b2c33-d410-4540-aa4b-6dca528df34b/52b3674d-e0dd-4997-ac4d-149e2874e0f9</t>
  </si>
  <si>
    <t>ad8f3b37-7952-4a80-8c25-4f4a98604018/c9d4c0ba-ec0c-4707-9efe-06b988e4c967</t>
  </si>
  <si>
    <t>52b3674d-e0dd-4997-ac4d-149e2874e0f9/c21253f0-3656-4e03-8a6f-d881b4602cf6</t>
  </si>
  <si>
    <t>c9d4c0ba-ec0c-4707-9efe-06b988e4c967/d68d0af9-d830-4d79-966b-ff20ed103c5c</t>
  </si>
  <si>
    <t>c21253f0-3656-4e03-8a6f-d881b4602cf6/34e3b10f-a0b2-47fb-859f-726999a23ea2</t>
  </si>
  <si>
    <t>d68d0af9-d830-4d79-966b-ff20ed103c5c/e8c03204-0343-4fc5-ad3f-c45cbf5ce11b</t>
  </si>
  <si>
    <t>34e3b10f-a0b2-47fb-859f-726999a23ea2/749f5b88-6fa2-4965-85ca-685b45f66e25</t>
  </si>
  <si>
    <t>e8c03204-0343-4fc5-ad3f-c45cbf5ce11b/56f37902-496a-4972-8020-d9013b6b1a63</t>
  </si>
  <si>
    <t>749f5b88-6fa2-4965-85ca-685b45f66e25/2b37d9be-e1e2-433b-a78f-eea8f1e01ffd</t>
  </si>
  <si>
    <t>56f37902-496a-4972-8020-d9013b6b1a63/7f4eee61-63d3-4585-bec2-9f50d878c46f</t>
  </si>
  <si>
    <t>2b37d9be-e1e2-433b-a78f-eea8f1e01ffd/66ae66fd-d41c-445b-b949-446c507ab783</t>
  </si>
  <si>
    <t>7f4eee61-63d3-4585-bec2-9f50d878c46f/b6c6c012-4d4a-442e-8229-1e085610d1ce</t>
  </si>
  <si>
    <t>66ae66fd-d41c-445b-b949-446c507ab783/b8eb7c7e-f1a0-4cc2-a9c2-4e645968d298</t>
  </si>
  <si>
    <t>b6c6c012-4d4a-442e-8229-1e085610d1ce/a1d0c8bf-3d74-4bd4-8353-4908580d1d91</t>
  </si>
  <si>
    <t>b8eb7c7e-f1a0-4cc2-a9c2-4e645968d298/6b32d616-b653-4c28-8e36-87c8a5541940</t>
  </si>
  <si>
    <t>a1d0c8bf-3d74-4bd4-8353-4908580d1d91/fc879346-c702-422d-9ca0-d525a85dbc1c</t>
  </si>
  <si>
    <t>Saint-Denis Université</t>
  </si>
  <si>
    <t>Basilique de Saint-Denis</t>
  </si>
  <si>
    <t>Carrefour Pleyel</t>
  </si>
  <si>
    <t>Mairie de Saint-Ouen</t>
  </si>
  <si>
    <t>Garibaldi</t>
  </si>
  <si>
    <t>Porte de Saint-Ouen</t>
  </si>
  <si>
    <t>Guy Môquet</t>
  </si>
  <si>
    <t>Mairie de Clichy</t>
  </si>
  <si>
    <t>Porte de Clichy</t>
  </si>
  <si>
    <t>Brochant</t>
  </si>
  <si>
    <t>La Fourche</t>
  </si>
  <si>
    <t>Liège</t>
  </si>
  <si>
    <t>Varenne</t>
  </si>
  <si>
    <t>Saint-François-Xavier</t>
  </si>
  <si>
    <t>Gaîté</t>
  </si>
  <si>
    <t>Pernety</t>
  </si>
  <si>
    <t>Plaisance</t>
  </si>
  <si>
    <t>Porte de Vanves</t>
  </si>
  <si>
    <t>Malakoff Plateau de Vanves</t>
  </si>
  <si>
    <t>Malakoff Rue Etienne Dolet</t>
  </si>
  <si>
    <t>Châtillon - Montrouge</t>
  </si>
  <si>
    <t>M13</t>
  </si>
  <si>
    <t>f6c0832c-5a37-47de-9809-664a8c4a3cb6/0b2dac6d-bb06-407a-815d-5b8b3d54e846</t>
  </si>
  <si>
    <t>1a8b84ed-371b-439e-a7b7-72c6a064d3c6/03581468-f245-49d3-8681-cc1c5df8d34b</t>
  </si>
  <si>
    <t>0b2dac6d-bb06-407a-815d-5b8b3d54e846/e91dc804-2da0-40ce-aea7-1f64f40ca129</t>
  </si>
  <si>
    <t>03581468-f245-49d3-8681-cc1c5df8d34b/b03a3253-ea80-4ff6-9e63-d7d526bfa194</t>
  </si>
  <si>
    <t>e91dc804-2da0-40ce-aea7-1f64f40ca129/7e5a1dd4-9b90-4989-b44a-6b35f8a13f14</t>
  </si>
  <si>
    <t>b03a3253-ea80-4ff6-9e63-d7d526bfa194/6874ad8d-3d67-423b-b872-fd0093484c73</t>
  </si>
  <si>
    <t>bb95460c-169a-4af7-915c-ca9ee0d5077f/7e5a1dd4-9b90-4989-b44a-6b35f8a13f14</t>
  </si>
  <si>
    <t>4c1e833f-c363-4d65-a2b5-811c652f0fef/57094566-b93a-457e-b065-5a0ecb8604d6</t>
  </si>
  <si>
    <t>64f589f5-2b5a-4d91-ac43-68ca31730a14/50af193c-1baa-4b7b-a7f1-c846edf34f88</t>
  </si>
  <si>
    <t>57094566-b93a-457e-b065-5a0ecb8604d6/bb95460c-169a-4af7-915c-ca9ee0d5077f</t>
  </si>
  <si>
    <t>bb95460c-169a-4af7-915c-ca9ee0d5077f/57094566-b93a-457e-b065-5a0ecb8604d6</t>
  </si>
  <si>
    <t>bb95460c-169a-4af7-915c-ca9ee0d5077f/0af924e5-a348-452d-b952-42cceda89966</t>
  </si>
  <si>
    <t>ce294054-6da6-4c65-9bff-ba634799d39c/0538c6d9-110e-4e78-95ea-c54f47c25e1d</t>
  </si>
  <si>
    <t>0af924e5-a348-452d-b952-42cceda89966/463ebbb5-4290-48dc-b2c9-333c4f007b62</t>
  </si>
  <si>
    <t>0538c6d9-110e-4e78-95ea-c54f47c25e1d/891ef774-ed18-49c2-813e-624a98ea2dc1</t>
  </si>
  <si>
    <t>463ebbb5-4290-48dc-b2c9-333c4f007b62/a08250b1-c397-4629-b8da-815f942f38d9</t>
  </si>
  <si>
    <t>891ef774-ed18-49c2-813e-624a98ea2dc1/5a295015-670d-4d85-a5c8-f3150e050d6b</t>
  </si>
  <si>
    <t>a08250b1-c397-4629-b8da-815f942f38d9/72748398-d735-4a8b-8cb0-3cfb9b92a50a</t>
  </si>
  <si>
    <t>5a295015-670d-4d85-a5c8-f3150e050d6b/8d12cf08-e2a9-4127-baec-01b3d1a1a216</t>
  </si>
  <si>
    <t>72748398-d735-4a8b-8cb0-3cfb9b92a50a/602f7ed3-bcf1-4286-a47c-258266973dde</t>
  </si>
  <si>
    <t>8d12cf08-e2a9-4127-baec-01b3d1a1a216/3a46d4c0-2768-4e83-a0f2-d9fdda27a386</t>
  </si>
  <si>
    <t>602f7ed3-bcf1-4286-a47c-258266973dde/4fb786d9-73a9-4037-b134-1d2c19703a90</t>
  </si>
  <si>
    <t>3a46d4c0-2768-4e83-a0f2-d9fdda27a386/79cf121c-863e-4ac0-afc5-a9175956951b</t>
  </si>
  <si>
    <t>4fb786d9-73a9-4037-b134-1d2c19703a90/85b044f3-3154-4295-a60f-702556a53a43</t>
  </si>
  <si>
    <t>79cf121c-863e-4ac0-afc5-a9175956951b/568e8d77-7151-448c-b08c-badbd95a3e22</t>
  </si>
  <si>
    <t>85b044f3-3154-4295-a60f-702556a53a43/2ab83e03-da24-4495-b838-072af3db041a</t>
  </si>
  <si>
    <t>568e8d77-7151-448c-b08c-badbd95a3e22/d19b565d-ff83-4e07-aa16-232d25b57d64</t>
  </si>
  <si>
    <t>Cour Saint-Emilion</t>
  </si>
  <si>
    <t>Bibliothèque François Mitterrand</t>
  </si>
  <si>
    <t>Olympiades</t>
  </si>
  <si>
    <t>M14</t>
  </si>
  <si>
    <t>ed9de319-e425-4801-b53a-8e42740e5f4b/07d0c083-a9e7-4f39-8526-50274cac3eb4</t>
  </si>
  <si>
    <t>2cf3a892-f374-42e3-b3f0-b7f8de2e4eff/6af0419d-a071-45c7-931b-59155b7015e3</t>
  </si>
  <si>
    <t>a172deef-108f-4889-b274-336bc256ac2f/72b9bbe5-8fd5-4b24-92ee-d5f0ddada128</t>
  </si>
  <si>
    <t>cd313e09-ce5d-409c-8ea8-55cac0dcd5bc/b1aed7a7-f269-484a-90f5-961cb3c541bb</t>
  </si>
  <si>
    <t>72b9bbe5-8fd5-4b24-92ee-d5f0ddada128/1bf4d462-672a-4ac5-a6ad-6bada09d7286</t>
  </si>
  <si>
    <t>b1aed7a7-f269-484a-90f5-961cb3c541bb/80951edc-35d3-4481-b648-3b9853d91067</t>
  </si>
  <si>
    <t>1bf4d462-672a-4ac5-a6ad-6bada09d7286/5ad86ac4-6613-470f-ae8e-51f8397749c8</t>
  </si>
  <si>
    <t>80951edc-35d3-4481-b648-3b9853d91067/d42d11c4-1641-4bb3-88ff-c40ad18b9089</t>
  </si>
  <si>
    <t>5ad86ac4-6613-470f-ae8e-51f8397749c8/fac704ce-20a3-441a-ad2e-43b9b5c78b0c</t>
  </si>
  <si>
    <t>d42d11c4-1641-4bb3-88ff-c40ad18b9089/ba871a49-ba2a-4ef0-bcba-86559c28d894</t>
  </si>
  <si>
    <t>fac704ce-20a3-441a-ad2e-43b9b5c78b0c/979f7753-6044-4475-826d-9873b9020a51</t>
  </si>
  <si>
    <t>ba871a49-ba2a-4ef0-bcba-86559c28d894/58d37da8-8d48-47cc-961e-0f83ab17777b</t>
  </si>
  <si>
    <t>979f7753-6044-4475-826d-9873b9020a51/01aec5d9-209a-454e-8f37-b877f74ffe8a</t>
  </si>
  <si>
    <t>58d37da8-8d48-47cc-961e-0f83ab17777b/93a26e42-56a8-4918-8c8f-70e7982935be</t>
  </si>
  <si>
    <t>01aec5d9-209a-454e-8f37-b877f74ffe8a/17714f09-edaa-4832-9c2b-25ed3e68ef9b</t>
  </si>
  <si>
    <t>93a26e42-56a8-4918-8c8f-70e7982935be/edd840a6-24cb-4415-9324-8e450ffaa381</t>
  </si>
  <si>
    <t>17714f09-edaa-4832-9c2b-25ed3e68ef9b/65c83b49-26fb-4371-ae38-8215908be7ff</t>
  </si>
  <si>
    <t>edd840a6-24cb-4415-9324-8e450ffaa381/8d8db83e-f6b0-4fa5-90cb-1c202c6d973b</t>
  </si>
  <si>
    <t>65c83b49-26fb-4371-ae38-8215908be7ff/7e001018-784d-4f3b-ac17-a1c54b1d00b5</t>
  </si>
  <si>
    <t>8d8db83e-f6b0-4fa5-90cb-1c202c6d973b/56a7621a-e8bb-4851-85cf-d786709ab583</t>
  </si>
  <si>
    <t>7e001018-784d-4f3b-ac17-a1c54b1d00b5/9882a61c-1ee8-44aa-a880-89660363666d</t>
  </si>
  <si>
    <t>56a7621a-e8bb-4851-85cf-d786709ab583/4ab9c0b8-bda1-434e-96fa-9897fd05fc11</t>
  </si>
  <si>
    <t>a9e4878d-035a-467b-8715-75098d61b77d/a69d56f6-038e-493c-8226-6a6b1bcf1d05</t>
  </si>
  <si>
    <t>c7db3972-1b0b-4202-a9ef-1dcb33069525/22df1bb1-c6ab-4788-8194-fd97d494e025</t>
  </si>
  <si>
    <t>a69d56f6-038e-493c-8226-6a6b1bcf1d05/0b8bfbc4-adf6-4dac-b354-e81b05daf694</t>
  </si>
  <si>
    <t>22df1bb1-c6ab-4788-8194-fd97d494e025/5bca94f6-e392-4061-825a-88847ad43c11</t>
  </si>
  <si>
    <t>0b8bfbc4-adf6-4dac-b354-e81b05daf694/ed251a9b-af7e-444d-8b9e-f5e693175d45</t>
  </si>
  <si>
    <t>5bca94f6-e392-4061-825a-88847ad43c11/a0c023ae-d3b3-467e-ba8d-c74e923b74dd</t>
  </si>
  <si>
    <t>ed251a9b-af7e-444d-8b9e-f5e693175d45/9ad44e7a-f9be-49f3-a3b5-c6ca35946be5</t>
  </si>
  <si>
    <t>Duroc / Sèvres - Babylone</t>
  </si>
  <si>
    <t>Sèvres - Babylone / Odéon</t>
  </si>
  <si>
    <t>Front Populaire / Marx Dormoy</t>
  </si>
  <si>
    <t>Porte de la Chapelle / Marcadet - Poissonniers</t>
  </si>
  <si>
    <t>Marx Dormoy / Jules Joffrin</t>
  </si>
  <si>
    <t>Marcadet - Poissonniers / Lamarck - Caulaincourt</t>
  </si>
  <si>
    <t>Jules Joffrin / Abbesses</t>
  </si>
  <si>
    <t>Lamarck - Caulaincourt / Pigalle</t>
  </si>
  <si>
    <t>Abbesses / Saint-Georges</t>
  </si>
  <si>
    <t>Pigalle / Notre-Dame-de-Lorette</t>
  </si>
  <si>
    <t>Saint-Georges / Trinité - d'Estienne d'Orves</t>
  </si>
  <si>
    <t>Notre-Dame-de-Lorette / Saint-Lazare</t>
  </si>
  <si>
    <t>Trinité - d'Estienne d'Orves / Madeleine</t>
  </si>
  <si>
    <t>Saint-Lazare / Concorde</t>
  </si>
  <si>
    <t>Madeleine / Assemblée nationale</t>
  </si>
  <si>
    <t>Concorde / Solférino</t>
  </si>
  <si>
    <t>Assemblée nationale / Rue du Bac</t>
  </si>
  <si>
    <t>Solférino / Sèvres - Babylone</t>
  </si>
  <si>
    <t>Rue du Bac / Rennes</t>
  </si>
  <si>
    <t>Sèvres - Babylone / Notre-Dame-des-Champs</t>
  </si>
  <si>
    <t>Rennes / Montparnasse - Bienvenüe</t>
  </si>
  <si>
    <t>Notre-Dame-des-Champs / Falguière</t>
  </si>
  <si>
    <t>Montparnasse - Bienvenüe / Pasteur</t>
  </si>
  <si>
    <t>Falguière / Volontaires</t>
  </si>
  <si>
    <t>Pasteur / Vaugirard</t>
  </si>
  <si>
    <t>Volontaires / Convention</t>
  </si>
  <si>
    <t>Vaugirard / Porte de Versailles</t>
  </si>
  <si>
    <t>Convention / Corentin Celton</t>
  </si>
  <si>
    <t>Porte de Versailles / Mairie d'Issy</t>
  </si>
  <si>
    <t>Basilique de Saint-Denis / Carrefour Pleyel</t>
  </si>
  <si>
    <t>Carrefour Pleyel / Garibaldi</t>
  </si>
  <si>
    <t>Mairie de Saint-Ouen / Porte de Saint-Ouen</t>
  </si>
  <si>
    <t>Garibaldi / Guy Môquet</t>
  </si>
  <si>
    <t>La Fourche / Porte de Saint-Ouen</t>
  </si>
  <si>
    <t>Mairie de Clichy / Brochant</t>
  </si>
  <si>
    <t>Porte de Clichy / La Fourche</t>
  </si>
  <si>
    <t>La Fourche / Porte de Clichy</t>
  </si>
  <si>
    <t>La Fourche / Liège</t>
  </si>
  <si>
    <t>Place de Clichy / Saint-Lazare</t>
  </si>
  <si>
    <t>Liège / Miromesnil</t>
  </si>
  <si>
    <t>Saint-Lazare / Champs-Elysées - Clémenceau</t>
  </si>
  <si>
    <t>Miromesnil / Invalides</t>
  </si>
  <si>
    <t>Champs-Elysées - Clémenceau / Varenne</t>
  </si>
  <si>
    <t>Invalides / Saint-François-Xavier</t>
  </si>
  <si>
    <t>Varenne / Duroc</t>
  </si>
  <si>
    <t>Saint-François-Xavier / Montparnasse - Bienvenüe</t>
  </si>
  <si>
    <t>Duroc / Gaîté</t>
  </si>
  <si>
    <t>Montparnasse - Bienvenüe / Pernety</t>
  </si>
  <si>
    <t>Gaîté / Plaisance</t>
  </si>
  <si>
    <t>Pernety / Porte de Vanves</t>
  </si>
  <si>
    <t>Plaisance / Malakoff Plateau de Vanves</t>
  </si>
  <si>
    <t>Porte de Vanves / Malakoff Rue Etienne Dolet</t>
  </si>
  <si>
    <t>Malakoff Plateau de Vanves / Châtillon - Montrouge</t>
  </si>
  <si>
    <t>Saint-Lazare / Pyramides</t>
  </si>
  <si>
    <t>Madeleine / Châtelet</t>
  </si>
  <si>
    <t>Pyramides / Gare de Lyon</t>
  </si>
  <si>
    <t>Châtelet / Bercy</t>
  </si>
  <si>
    <t>Gare de Lyon / Cour Saint-Emilion</t>
  </si>
  <si>
    <t>Bercy / Bibliothèque François Mitterrand</t>
  </si>
  <si>
    <t>Cour Saint-Emilion / Olympiades</t>
  </si>
  <si>
    <t>Gabriel Péri</t>
  </si>
  <si>
    <t>Asnières Gennevilliers - Les Courtilles</t>
  </si>
  <si>
    <t>Les Agnettes</t>
  </si>
  <si>
    <t>d6fdebfd-2ec5-4ee9-b778-6416efbb82fd</t>
  </si>
  <si>
    <t>046264bd-c840-4781-9a32-7b112b97e34d</t>
  </si>
  <si>
    <t>d6fdebfd-2ec5-4ee9-b778-6416efbb82fd/4c1e833f-c363-4d65-a2b5-811c652f0fef</t>
  </si>
  <si>
    <t>046264bd-c840-4781-9a32-7b112b97e34d/64f589f5-2b5a-4d91-ac43-68ca31730a14</t>
  </si>
  <si>
    <t>Asnières Gennevilliers - Les Courtilles / Gabriel Péri</t>
  </si>
  <si>
    <t>Les Agnettes / Mairie de Clichy</t>
  </si>
  <si>
    <t>Gabriel Péri / Porte de Clichy</t>
  </si>
  <si>
    <t>NB_STOP_THEO</t>
  </si>
  <si>
    <t>NB_STOP_CALC</t>
  </si>
  <si>
    <t>LATITUDE</t>
  </si>
  <si>
    <t>LONGITUDE</t>
  </si>
  <si>
    <t>GROUP_NAME_CNT</t>
  </si>
  <si>
    <t>HUMANIZE_CHANGE_SAME</t>
  </si>
  <si>
    <t>Concorde / Palais Royal - Musée du Louvre</t>
  </si>
  <si>
    <t>Palais Royal - Musée du Louvre / Châtelet</t>
  </si>
  <si>
    <t>Opéra / Palais Royal - Musée du Louvre</t>
  </si>
  <si>
    <t>b6a9f9f6-aae2-4aa6-90b2-d1480f268655</t>
  </si>
  <si>
    <t>9100a9b6-a5d0-4b72-a1de-76015ffd541e/b6a9f9f6-aae2-4aa6-90b2-d1480f268655</t>
  </si>
  <si>
    <t>b6a9f9f6-aae2-4aa6-90b2-d1480f268655/40f7c26a-32f5-4347-b52f-e2590c5309c0</t>
  </si>
  <si>
    <t>Javel - André Citroën / Avenue Emise-Zola</t>
  </si>
  <si>
    <t>Avenue Emise-Zola / Ségur</t>
  </si>
  <si>
    <t>65c83b49-26fb-4371-ae38-8215908be7ff/453339c2-ccb9-482b-92aa-03e6b29e613d</t>
  </si>
  <si>
    <t>757a3621-4dda-4117-9888-7a836c6c3dd8/453339c2-ccb9-482b-92aa-03e6b29e613d</t>
  </si>
  <si>
    <t>757a3621-4dda-4117-9888-7a836c6c3dd8/65c83b49-26fb-4371-ae38-8215908be7ff</t>
  </si>
  <si>
    <t>3df2697d-2b6f-4981-a584-5dc323bfdb84/1f2da068-67ea-4aa0-bcae-9c95dcc28948</t>
  </si>
  <si>
    <t>755ceb3a-df2f-456f-84e0-8664f6b75170/1f2da068-67ea-4aa0-bcae-9c95dcc28948</t>
  </si>
  <si>
    <t>755ceb3a-df2f-456f-84e0-8664f6b75170/3df2697d-2b6f-4981-a584-5dc323bfdb84</t>
  </si>
  <si>
    <t>c9afc5c0-8386-4ac7-ba16-b78795f4bc30/9046fec1-7211-4c22-bdc3-f28e5aff4f2a/dbdbbb8b-724e-4cb7-af3f-a8d4094d0b87/22df1bb1-c6ab-4788-8194-fd97d494e025</t>
  </si>
  <si>
    <t>241906bd-1a8a-460a-a00a-19ab1e7af0d9/9046fec1-7211-4c22-bdc3-f28e5aff4f2a/dbdbbb8b-724e-4cb7-af3f-a8d4094d0b87/22df1bb1-c6ab-4788-8194-fd97d494e025</t>
  </si>
  <si>
    <t>241906bd-1a8a-460a-a00a-19ab1e7af0d9/c9afc5c0-8386-4ac7-ba16-b78795f4bc30/dbdbbb8b-724e-4cb7-af3f-a8d4094d0b87/22df1bb1-c6ab-4788-8194-fd97d494e025</t>
  </si>
  <si>
    <t>241906bd-1a8a-460a-a00a-19ab1e7af0d9/c9afc5c0-8386-4ac7-ba16-b78795f4bc30/9046fec1-7211-4c22-bdc3-f28e5aff4f2a/22df1bb1-c6ab-4788-8194-fd97d494e025</t>
  </si>
  <si>
    <t>241906bd-1a8a-460a-a00a-19ab1e7af0d9/c9afc5c0-8386-4ac7-ba16-b78795f4bc30/9046fec1-7211-4c22-bdc3-f28e5aff4f2a/dbdbbb8b-724e-4cb7-af3f-a8d4094d0b87</t>
  </si>
  <si>
    <t>39cd89b6-2ed3-4ef5-ac7c-e5903f131c96/52b3674d-e0dd-4997-ac4d-149e2874e0f9</t>
  </si>
  <si>
    <t>977af1c5-4d39-4406-82a5-c1e811c51410/52b3674d-e0dd-4997-ac4d-149e2874e0f9</t>
  </si>
  <si>
    <t>977af1c5-4d39-4406-82a5-c1e811c51410/39cd89b6-2ed3-4ef5-ac7c-e5903f131c96</t>
  </si>
  <si>
    <t>979f7753-6044-4475-826d-9873b9020a51/c5202f62-6a57-44bb-b057-422e3454ee38</t>
  </si>
  <si>
    <t>154524ba-089d-4474-b1cf-9533abbd28b0/c5202f62-6a57-44bb-b057-422e3454ee38</t>
  </si>
  <si>
    <t>154524ba-089d-4474-b1cf-9533abbd28b0/979f7753-6044-4475-826d-9873b9020a51</t>
  </si>
  <si>
    <t>d42d11c4-1641-4bb3-88ff-c40ad18b9089/132489eb-4061-402f-9ba5-50755201633c</t>
  </si>
  <si>
    <t>c7a97b27-235c-4a4a-bfba-f9ca4f4501bc/132489eb-4061-402f-9ba5-50755201633c</t>
  </si>
  <si>
    <t>c7a97b27-235c-4a4a-bfba-f9ca4f4501bc/d42d11c4-1641-4bb3-88ff-c40ad18b9089</t>
  </si>
  <si>
    <t>418bdc65-4b7d-443f-a024-1200bc1b5557/738f1322-411b-4cf5-a367-1ba41f472b1f</t>
  </si>
  <si>
    <t>43cb2e8d-a03c-4539-975d-48113a7dc1fb/418bdc65-4b7d-443f-a024-1200bc1b5557</t>
  </si>
  <si>
    <t>43cb2e8d-a03c-4539-975d-48113a7dc1fb/738f1322-411b-4cf5-a367-1ba41f472b1f</t>
  </si>
  <si>
    <t>ad8f3b37-7952-4a80-8c25-4f4a98604018/c7db3972-1b0b-4202-a9ef-1dcb33069525</t>
  </si>
  <si>
    <t>ea285362-8547-46d3-9477-931b470d0f79/ad8f3b37-7952-4a80-8c25-4f4a98604018</t>
  </si>
  <si>
    <t>f4c3281c-5625-4317-8fac-0a7d2b566fc2/56f37902-496a-4972-8020-d9013b6b1a63/602f7ed3-bcf1-4286-a47c-258266973dde</t>
  </si>
  <si>
    <t>73c193b7-7eb9-41c3-b5e8-74f92bc20b8c/56f37902-496a-4972-8020-d9013b6b1a63/602f7ed3-bcf1-4286-a47c-258266973dde</t>
  </si>
  <si>
    <t>73c193b7-7eb9-41c3-b5e8-74f92bc20b8c/f4c3281c-5625-4317-8fac-0a7d2b566fc2/602f7ed3-bcf1-4286-a47c-258266973dde</t>
  </si>
  <si>
    <t>a1acd0b7-df11-4b1f-b234-f22cc3494994/ae68412a-5504-4d74-8d80-1e7e95a44d9f/68cf43b0-06f8-4a86-a6fd-2bdaffc8f49f</t>
  </si>
  <si>
    <t>3fe3b2e7-bc78-42b7-aee2-d9e24a170873/ae68412a-5504-4d74-8d80-1e7e95a44d9f/68cf43b0-06f8-4a86-a6fd-2bdaffc8f49f</t>
  </si>
  <si>
    <t>3fe3b2e7-bc78-42b7-aee2-d9e24a170873/a1acd0b7-df11-4b1f-b234-f22cc3494994/68cf43b0-06f8-4a86-a6fd-2bdaffc8f49f</t>
  </si>
  <si>
    <t>3fe3b2e7-bc78-42b7-aee2-d9e24a170873/a1acd0b7-df11-4b1f-b234-f22cc3494994/ae68412a-5504-4d74-8d80-1e7e95a44d9f</t>
  </si>
  <si>
    <t>4e145214-f40c-4cf3-b4aa-76e0c987ff49/6f37ba26-77e1-4105-8840-a3ca42c98c1e</t>
  </si>
  <si>
    <t>7497e934-33d8-4143-ac73-b75e9841cc85/6f37ba26-77e1-4105-8840-a3ca42c98c1e</t>
  </si>
  <si>
    <t>7497e934-33d8-4143-ac73-b75e9841cc85/4e145214-f40c-4cf3-b4aa-76e0c987ff49</t>
  </si>
  <si>
    <t>60b3084a-256d-4462-965b-d4300723a1e5/9cc8c832-0b9a-4960-8b00-bf69bd1424ab</t>
  </si>
  <si>
    <t>4ab9c0b8-bda1-434e-96fa-9897fd05fc11/9cc8c832-0b9a-4960-8b00-bf69bd1424ab</t>
  </si>
  <si>
    <t>4ab9c0b8-bda1-434e-96fa-9897fd05fc11/60b3084a-256d-4462-965b-d4300723a1e5</t>
  </si>
  <si>
    <t>01aec5d9-209a-454e-8f37-b877f74ffe8a/b15b689a-f391-4a2c-8727-0073778518ed/1616e4eb-50f4-4073-b7c4-ddf714264278/f1ad70bd-5d00-43df-8f2f-d403a99954e8</t>
  </si>
  <si>
    <t>b02dedb1-5c12-4990-85a3-51b96860363d/b15b689a-f391-4a2c-8727-0073778518ed/1616e4eb-50f4-4073-b7c4-ddf714264278/f1ad70bd-5d00-43df-8f2f-d403a99954e8</t>
  </si>
  <si>
    <t>b02dedb1-5c12-4990-85a3-51b96860363d/01aec5d9-209a-454e-8f37-b877f74ffe8a/1616e4eb-50f4-4073-b7c4-ddf714264278/f1ad70bd-5d00-43df-8f2f-d403a99954e8</t>
  </si>
  <si>
    <t>b02dedb1-5c12-4990-85a3-51b96860363d/01aec5d9-209a-454e-8f37-b877f74ffe8a/b15b689a-f391-4a2c-8727-0073778518ed/f1ad70bd-5d00-43df-8f2f-d403a99954e8</t>
  </si>
  <si>
    <t>b02dedb1-5c12-4990-85a3-51b96860363d/01aec5d9-209a-454e-8f37-b877f74ffe8a/b15b689a-f391-4a2c-8727-0073778518ed/1616e4eb-50f4-4073-b7c4-ddf714264278</t>
  </si>
  <si>
    <t>c74b2c33-d410-4540-aa4b-6dca528df34b/0538c6d9-110e-4e78-95ea-c54f47c25e1d/a9e4878d-035a-467b-8715-75098d61b77d</t>
  </si>
  <si>
    <t>425b6d44-f26d-4521-b737-a8b577bc437d/0538c6d9-110e-4e78-95ea-c54f47c25e1d/a9e4878d-035a-467b-8715-75098d61b77d</t>
  </si>
  <si>
    <t>425b6d44-f26d-4521-b737-a8b577bc437d/c74b2c33-d410-4540-aa4b-6dca528df34b/a9e4878d-035a-467b-8715-75098d61b77d</t>
  </si>
  <si>
    <t>425b6d44-f26d-4521-b737-a8b577bc437d/c74b2c33-d410-4540-aa4b-6dca528df34b/0538c6d9-110e-4e78-95ea-c54f47c25e1d</t>
  </si>
  <si>
    <t>fac704ce-20a3-441a-ad2e-43b9b5c78b0c/eed6aec9-53ed-42e5-bb4c-b695b4571f82</t>
  </si>
  <si>
    <t>ee8beb96-1812-440f-80b7-d9a7b0094388/eed6aec9-53ed-42e5-bb4c-b695b4571f82</t>
  </si>
  <si>
    <t>ee8beb96-1812-440f-80b7-d9a7b0094388/fac704ce-20a3-441a-ad2e-43b9b5c78b0c</t>
  </si>
  <si>
    <t>6014b488-6855-4d24-9291-e4a40fe4cde0/e7e5d05f-8f22-433a-8219-791a337d4bef</t>
  </si>
  <si>
    <t>b72964b7-7ffb-4ca7-8729-baebb0b40c41/6014b488-6855-4d24-9291-e4a40fe4cde0</t>
  </si>
  <si>
    <t>Charles de Gaulle - Etoile / Charles de Gaulle - Etoile</t>
  </si>
  <si>
    <t>Concorde / Concorde</t>
  </si>
  <si>
    <t>Châtelet / Châtelet / Châtelet / Châtelet</t>
  </si>
  <si>
    <t>Bastille / Bastille</t>
  </si>
  <si>
    <t>Nation / Nation / Nation</t>
  </si>
  <si>
    <t>Stalingrad / Stalingrad</t>
  </si>
  <si>
    <t>Jaurès / Jaurès</t>
  </si>
  <si>
    <t>Saint-Lazare / Saint-Lazare / Saint-Lazare</t>
  </si>
  <si>
    <t>Opéra / Opéra</t>
  </si>
  <si>
    <t>République / République / République / République</t>
  </si>
  <si>
    <t>Gare de l'Est / Gare de l'Est</t>
  </si>
  <si>
    <t>Strasbourg - Saint-Denis / Strasbourg - Saint-Denis</t>
  </si>
  <si>
    <t>Montparnasse - Bienvenüe / Montparnasse - Bienvenüe / Montparnasse - Bienvenüe</t>
  </si>
  <si>
    <t>Place d'Italie / Place d'Italie</t>
  </si>
  <si>
    <t>La Motte-Piquet - Grenelle / La Motte-Piquet - Grenelle</t>
  </si>
  <si>
    <t>Madeleine / Madeleine</t>
  </si>
  <si>
    <t>425b6d44-f26d-4521-b737-a8b577bc437d/7497e934-33d8-4143-ac73-b75e9841cc85</t>
  </si>
  <si>
    <t>5560ad51-630a-4c94-9a96-fe45637e19d0/f438d7fc-4016-464b-8f26-d1e5bcb99a72</t>
  </si>
  <si>
    <t>7497e934-33d8-4143-ac73-b75e9841cc85/7990755b-f930-4d27-a20f-2b1a597efd68</t>
  </si>
  <si>
    <t>f438d7fc-4016-464b-8f26-d1e5bcb99a72/bd9c7ac1-a57f-4d37-97a8-74ce3b8e9724</t>
  </si>
  <si>
    <t>7990755b-f930-4d27-a20f-2b1a597efd68/9abe35dc-425d-43e3-9733-96c8861f77f3</t>
  </si>
  <si>
    <t>bd9c7ac1-a57f-4d37-97a8-74ce3b8e9724/5320b8bf-cb2c-49cc-bfca-d8934dbf07a2</t>
  </si>
  <si>
    <t>9abe35dc-425d-43e3-9733-96c8861f77f3/c9be487d-dbc2-4aed-9dbf-4d47d6d61a84</t>
  </si>
  <si>
    <t>5320b8bf-cb2c-49cc-bfca-d8934dbf07a2/b02dedb1-5c12-4990-85a3-51b96860363d</t>
  </si>
  <si>
    <t>c9be487d-dbc2-4aed-9dbf-4d47d6d61a84/df3e3243-f9d4-4c3a-90df-429ed8bdb265</t>
  </si>
  <si>
    <t>b02dedb1-5c12-4990-85a3-51b96860363d/7c5b978b-835f-481e-a408-1818c85fae36</t>
  </si>
  <si>
    <t>df3e3243-f9d4-4c3a-90df-429ed8bdb265/85a18989-c8c3-4b4e-9f8a-cccc95167713</t>
  </si>
  <si>
    <t>7c5b978b-835f-481e-a408-1818c85fae36/b5b5dab5-ed60-4782-9efd-736be530c098</t>
  </si>
  <si>
    <t>85a18989-c8c3-4b4e-9f8a-cccc95167713/e239d124-0875-4832-a242-a5584a957bd2</t>
  </si>
  <si>
    <t>b5b5dab5-ed60-4782-9efd-736be530c098/c678762b-4217-426b-95ba-2e201a5d27b2</t>
  </si>
  <si>
    <t>UUID1</t>
  </si>
  <si>
    <t>UUID2</t>
  </si>
  <si>
    <t>TYPE</t>
  </si>
  <si>
    <t>X</t>
  </si>
  <si>
    <t>TEMP_INDEX</t>
  </si>
  <si>
    <t>GROUPED</t>
  </si>
  <si>
    <t>10b62ae5-35ff-45db-af51-d2671b983651/fc75c25e-4614-4ec0-8528-b882d76982c5</t>
  </si>
  <si>
    <t>f4d561ba-e7f2-42b2-b8f6-d82da069ea9c/85a18989-c8c3-4b4e-9f8a-cccc95167713</t>
  </si>
  <si>
    <t>b5b5dab5-ed60-4782-9efd-736be530c098/6af0419d-a071-45c7-931b-59155b7015e3</t>
  </si>
  <si>
    <t>83fffe6d-c4b2-4ba4-a631-7078087c95af/57462cbc-7eca-4406-a66c-52107e06f2e2</t>
  </si>
  <si>
    <t>9abe35dc-425d-43e3-9733-96c8861f77f3/a2da50b7-0e06-48a7-9902-de0d454aa4f7</t>
  </si>
  <si>
    <t>26320586-e7af-4abf-bd3a-bd8383359193/ba871a49-ba2a-4ef0-bcba-86559c28d894</t>
  </si>
  <si>
    <t>755ceb3a-df2f-456f-84e0-8664f6b75170/3df2697d-2b6f-4981-a584-5dc323bfdb84/1f2da068-67ea-4aa0-bcae-9c95dcc28948</t>
  </si>
  <si>
    <t>ba33f3f8-5a6f-4b43-bec5-80ebc9b8a9e6/da728721-895f-43c5-a9e5-91cac3090415</t>
  </si>
  <si>
    <t>ee8beb96-1812-440f-80b7-d9a7b0094388/fac704ce-20a3-441a-ad2e-43b9b5c78b0c/eed6aec9-53ed-42e5-bb4c-b695b4571f82</t>
  </si>
  <si>
    <t>154524ba-089d-4474-b1cf-9533abbd28b0/979f7753-6044-4475-826d-9873b9020a51/c5202f62-6a57-44bb-b057-422e3454ee38</t>
  </si>
  <si>
    <t>c8cca062-47ed-4801-8906-b5849492a297/0f5796bf-b157-4c46-9427-f9071fc75312</t>
  </si>
  <si>
    <t>4ab9c0b8-bda1-434e-96fa-9897fd05fc11/60b3084a-256d-4462-965b-d4300723a1e5/9cc8c832-0b9a-4960-8b00-bf69bd1424ab</t>
  </si>
  <si>
    <t>5e36d407-7375-4399-8286-2438214f9725/e7bab5a6-d571-4233-8abb-568b0a0df76b</t>
  </si>
  <si>
    <t>c7a97b27-235c-4a4a-bfba-f9ca4f4501bc/d42d11c4-1641-4bb3-88ff-c40ad18b9089/132489eb-4061-402f-9ba5-50755201633c</t>
  </si>
  <si>
    <t>757a3621-4dda-4117-9888-7a836c6c3dd8/65c83b49-26fb-4371-ae38-8215908be7ff/453339c2-ccb9-482b-92aa-03e6b29e613d</t>
  </si>
  <si>
    <t>6bfcba0b-189f-414f-bc44-94413a02f3bd/7645c3cc-86f7-4312-ba31-a2ebe9038ee3</t>
  </si>
  <si>
    <t>33efcd47-ecc6-4752-9e72-cefb278dc89e/e35c326a-0b77-4b12-9da6-79789ce2a5c4</t>
  </si>
  <si>
    <t>031acf11-25b2-4a06-98b4-5cfe7347daf1/00419aee-1c76-4f1e-bda0-e0e3eac65898</t>
  </si>
  <si>
    <t>b9d1c704-532d-44b1-934c-99df09c84323/833f96c2-0da1-47b2-a6f6-9c1e50dcc47d</t>
  </si>
  <si>
    <t>5560ad51-630a-4c94-9a96-fe45637e19d0/9acb92c2-faac-4d7d-a10d-2c54b3cf3cc9</t>
  </si>
  <si>
    <t>817870c1-d954-41de-926c-72dd4c8e4eeb/ec6e5c91-fccf-4c94-a5fc-5f5f25d8594d</t>
  </si>
  <si>
    <t>9935d16b-398e-4b71-81eb-c2fadd07a4ab/80c2301d-e86a-4d08-8a3e-a74718dd76bb</t>
  </si>
  <si>
    <t>d87b4a39-5067-4466-8765-23a177d692e5/98957eff-0f88-46ef-b5a9-da35963b9b82</t>
  </si>
  <si>
    <t>bea4f9bd-c26b-47cf-b37d-b373220a32a4/65ebc1f8-2355-4dbd-997d-5c060dcb3773</t>
  </si>
  <si>
    <t>b72964b7-7ffb-4ca7-8729-baebb0b40c41/6014b488-6855-4d24-9291-e4a40fe4cde0/e7e5d05f-8f22-433a-8219-791a337d4bef</t>
  </si>
  <si>
    <t>93a26e42-56a8-4918-8c8f-70e7982935be/62e62d2c-89c1-4d2a-b35f-da04b9e79a2c</t>
  </si>
  <si>
    <t>3fe3b2e7-bc78-42b7-aee2-d9e24a170873/a1acd0b7-df11-4b1f-b234-f22cc3494994/ae68412a-5504-4d74-8d80-1e7e95a44d9f/68cf43b0-06f8-4a86-a6fd-2bdaffc8f49f</t>
  </si>
  <si>
    <t>a95f7f34-baa5-49a5-96e4-7dd6b16aaa8b/b88c58c3-b9ad-4f01-a810-403dfdcff170</t>
  </si>
  <si>
    <t>f3aab47b-024e-4644-b9dd-058a089c2a76/3ab35ee9-604d-4eac-a941-29c2c867f53d</t>
  </si>
  <si>
    <t>43cb2e8d-a03c-4539-975d-48113a7dc1fb/418bdc65-4b7d-443f-a024-1200bc1b5557/738f1322-411b-4cf5-a367-1ba41f472b1f</t>
  </si>
  <si>
    <t>6f0be043-8753-47a5-af4e-873682e9e557/02040ce7-ca49-4639-8f91-54f65df79ee7</t>
  </si>
  <si>
    <t>7069efeb-bc47-4edf-bda1-82d5f4787e58/3b879b61-66f0-458a-b736-cd6fe06b58a5</t>
  </si>
  <si>
    <t>7e001018-784d-4f3b-ac17-a1c54b1d00b5/6429e188-69bb-4dc7-8b46-c704e72841b1</t>
  </si>
  <si>
    <t>5320b8bf-cb2c-49cc-bfca-d8934dbf07a2/67a9e5c5-145f-4912-9520-ba5b689b7785</t>
  </si>
  <si>
    <t>b02dedb1-5c12-4990-85a3-51b96860363d/01aec5d9-209a-454e-8f37-b877f74ffe8a/b15b689a-f391-4a2c-8727-0073778518ed/1616e4eb-50f4-4073-b7c4-ddf714264278/f1ad70bd-5d00-43df-8f2f-d403a99954e8</t>
  </si>
  <si>
    <t>eb12bfff-2545-4cc0-bd66-abcb3bdee780/0781e432-ee8b-4a7d-805d-6402004e8a85</t>
  </si>
  <si>
    <t>b0159fb7-cc52-43e7-92e9-c4b3d21f2b92/f327c7c3-fd0f-498d-9955-fc5767c24166</t>
  </si>
  <si>
    <t>ed9de319-e425-4801-b53a-8e42740e5f4b/2f7ffcbd-6ec8-47c7-951c-6e03298a828c</t>
  </si>
  <si>
    <t>d1d23771-c86a-4e7b-9dbd-a035b2afa48a/e8a7c66f-1db1-41fc-97a0-519752af401e</t>
  </si>
  <si>
    <t>fc51df3e-c34c-4ba4-bb3b-9596338beb13/8290b734-bb90-4c7a-9c3a-9926a5e25ff3</t>
  </si>
  <si>
    <t>977af1c5-4d39-4406-82a5-c1e811c51410/39cd89b6-2ed3-4ef5-ac7c-e5903f131c96/52b3674d-e0dd-4997-ac4d-149e2874e0f9</t>
  </si>
  <si>
    <t>7dd56423-1d0e-48be-a157-d20a8a363f73/34e3b10f-a0b2-47fb-859f-726999a23ea2</t>
  </si>
  <si>
    <t>eaadd210-e039-48df-86fa-9f8d61a603d9/7f4eee61-63d3-4585-bec2-9f50d878c46f</t>
  </si>
  <si>
    <t>a19b50e8-8284-47de-a5d4-303e2f4e1058/ce294054-6da6-4c65-9bff-ba634799d39c</t>
  </si>
  <si>
    <t>47bf9b32-5909-4fd3-9608-5ee76110a305/463ebbb5-4290-48dc-b2c9-333c4f007b62</t>
  </si>
  <si>
    <t>e56520f5-e7d1-4b59-9c07-d38f701839ee/891ef774-ed18-49c2-813e-624a98ea2dc1</t>
  </si>
  <si>
    <t>d522db49-61de-402c-a168-0f16bfcf8e8f/a08250b1-c397-4629-b8da-815f942f38d9</t>
  </si>
  <si>
    <t>e7a1d7d5-cc67-4779-8966-6459923b20ab/8d12cf08-e2a9-4127-baec-01b3d1a1a216</t>
  </si>
  <si>
    <t>73c193b7-7eb9-41c3-b5e8-74f92bc20b8c/f4c3281c-5625-4317-8fac-0a7d2b566fc2/56f37902-496a-4972-8020-d9013b6b1a63/602f7ed3-bcf1-4286-a47c-258266973dde</t>
  </si>
  <si>
    <t>425b6d44-f26d-4521-b737-a8b577bc437d/c74b2c33-d410-4540-aa4b-6dca528df34b/0538c6d9-110e-4e78-95ea-c54f47c25e1d/a9e4878d-035a-467b-8715-75098d61b77d</t>
  </si>
  <si>
    <t>ea285362-8547-46d3-9477-931b470d0f79/ad8f3b37-7952-4a80-8c25-4f4a98604018/c7db3972-1b0b-4202-a9ef-1dcb33069525</t>
  </si>
  <si>
    <t>d9826fce-40f6-4c37-98a9-f09e3de33bd2/a69d56f6-038e-493c-8226-6a6b1bcf1d05</t>
  </si>
  <si>
    <t>241906bd-1a8a-460a-a00a-19ab1e7af0d9/c9afc5c0-8386-4ac7-ba16-b78795f4bc30/9046fec1-7211-4c22-bdc3-f28e5aff4f2a/dbdbbb8b-724e-4cb7-af3f-a8d4094d0b87/22df1bb1-c6ab-4788-8194-fd97d494e025</t>
  </si>
  <si>
    <t>6b2c5ee8-d593-40ab-95e6-cd90c1a5f7c8/0b8bfbc4-adf6-4dac-b354-e81b05daf694</t>
  </si>
  <si>
    <t>cc8704fb-c908-463c-8159-6e2379666108/5bca94f6-e392-4061-825a-88847ad43c11</t>
  </si>
  <si>
    <t>T1</t>
  </si>
  <si>
    <t>Le Luth</t>
  </si>
  <si>
    <t>Le Village</t>
  </si>
  <si>
    <t>Timbaud</t>
  </si>
  <si>
    <t>Gennevilliers - Gare</t>
  </si>
  <si>
    <t>Parc des Chanteraines</t>
  </si>
  <si>
    <t>Chemin des Reniers</t>
  </si>
  <si>
    <t>La Noue</t>
  </si>
  <si>
    <t>Mairie de Villeneuve-la-Garenne</t>
  </si>
  <si>
    <t>L'Ile Saint-Denis</t>
  </si>
  <si>
    <t>Saint-Denis - Gare</t>
  </si>
  <si>
    <t>Théâtre Gérard Philipe</t>
  </si>
  <si>
    <t>Marché de Saint-Denis</t>
  </si>
  <si>
    <t>Cimétière de Saint-Denis</t>
  </si>
  <si>
    <t>Hôpital Delafontaine</t>
  </si>
  <si>
    <t>Cosmonautes</t>
  </si>
  <si>
    <t>La Courneuve - 6 Routes</t>
  </si>
  <si>
    <t>Hôtel de Ville de La Courneuve</t>
  </si>
  <si>
    <t>Stade Géo André</t>
  </si>
  <si>
    <t>Danton</t>
  </si>
  <si>
    <t>Maurice Lachâtre</t>
  </si>
  <si>
    <t>Drancy - Avenir</t>
  </si>
  <si>
    <t>Hôpital Avicenne</t>
  </si>
  <si>
    <t>Gaston Rouland</t>
  </si>
  <si>
    <t>Escadrille Normandie-Niémen</t>
  </si>
  <si>
    <t>La Ferme</t>
  </si>
  <si>
    <t>Libération</t>
  </si>
  <si>
    <t>Hotel de Ville de Bobigny</t>
  </si>
  <si>
    <t>Jean Rostand</t>
  </si>
  <si>
    <t>Auguste Delaune</t>
  </si>
  <si>
    <t>Pont de Bondy</t>
  </si>
  <si>
    <t>Petit Noisy</t>
  </si>
  <si>
    <t>Noisy-le-Sec Gare</t>
  </si>
  <si>
    <t>9b857c61-12e7-47bb-859a-2198b582ab65</t>
  </si>
  <si>
    <t>1b564048-f8c9-4e89-9bd1-70f44488eef1</t>
  </si>
  <si>
    <t>aefd98fc-b8c4-48e6-84a6-a0fce8291cef</t>
  </si>
  <si>
    <t>f3994770-10f7-465c-827e-a3cb35e2877c</t>
  </si>
  <si>
    <t>40e10f37-c67a-403d-ade8-6036d121a11c</t>
  </si>
  <si>
    <t>d67809b0-f0c7-4afc-bc53-082c7b8abc44</t>
  </si>
  <si>
    <t>02d61793-8d11-4a35-b0d9-12b657fb9610</t>
  </si>
  <si>
    <t>f69609b3-bef2-41ce-b9b7-d96339207c8c</t>
  </si>
  <si>
    <t>dc1ca581-7820-4406-857a-ff788c084176</t>
  </si>
  <si>
    <t>f3b11428-454c-4dc2-a67b-45bfc63e0143</t>
  </si>
  <si>
    <t>4a366cfc-2fa9-4037-abcf-16257979b2be</t>
  </si>
  <si>
    <t>d8114696-f4e3-4021-b117-ef6c2c258fd6</t>
  </si>
  <si>
    <t>e557ae69-850b-4ae3-8c64-c88fa35d3617</t>
  </si>
  <si>
    <t>30fded01-f2d6-4674-9915-30274bcf6cf4</t>
  </si>
  <si>
    <t>64b80ea3-510f-4d97-9656-c873dd7f377d</t>
  </si>
  <si>
    <t>70da602d-c626-496e-bfbd-7ee16df1c3cc</t>
  </si>
  <si>
    <t>f057e575-ec6b-4159-adf2-87329061477f</t>
  </si>
  <si>
    <t>cbde475d-869e-4015-b314-5ec5e5a8ed48</t>
  </si>
  <si>
    <t>e526b2ba-3c2c-4e73-84c8-c7661c9abd1c</t>
  </si>
  <si>
    <t>e78e4d52-4fe7-46c5-9a5f-1509827a1d7e</t>
  </si>
  <si>
    <t>aea23bb1-575e-45ea-a8be-9ab1febfdcbf</t>
  </si>
  <si>
    <t>5834a68e-5174-4c0c-bf90-e90b4c5a8bf6</t>
  </si>
  <si>
    <t>8eaf8335-260d-4cac-a3d1-42e9df2ad201</t>
  </si>
  <si>
    <t>d610d0da-cb34-41e2-90ff-cb45a5524699</t>
  </si>
  <si>
    <t>d96639ed-b475-4297-85bf-c42f2ef669dc</t>
  </si>
  <si>
    <t>8741bd73-4025-4db3-b090-5004c3c21e2e</t>
  </si>
  <si>
    <t>45dbba98-046d-44ad-9d2e-edc07ee7e4d2</t>
  </si>
  <si>
    <t>52ce8e2d-1d36-4054-8eca-9d30587917b6</t>
  </si>
  <si>
    <t>22760f96-5422-453a-afd5-79545e644bd9</t>
  </si>
  <si>
    <t>23ec68be-ddeb-4c56-b0f9-16cafda610cd</t>
  </si>
  <si>
    <t>8c9148fb-c777-46f1-b0d7-5b12822c0135</t>
  </si>
  <si>
    <t>6dce3bb7-6617-45d2-932c-c0cdf6f3e162</t>
  </si>
  <si>
    <t>99a0144c-78aa-45c8-9070-d1944ef7e8f0</t>
  </si>
  <si>
    <t>a5796bdd-f55c-4300-a55d-3a30baf98bff</t>
  </si>
  <si>
    <t>0119fe10-b79b-4132-8547-f11e1cba592e</t>
  </si>
  <si>
    <t>f9ca54e1-1a06-47a9-81fd-9be7340d4f72</t>
  </si>
  <si>
    <t>9b857c61-12e7-47bb-859a-2198b582ab65/aefd98fc-b8c4-48e6-84a6-a0fce8291cef</t>
  </si>
  <si>
    <t>1b564048-f8c9-4e89-9bd1-70f44488eef1/f3994770-10f7-465c-827e-a3cb35e2877c</t>
  </si>
  <si>
    <t>aefd98fc-b8c4-48e6-84a6-a0fce8291cef/40e10f37-c67a-403d-ade8-6036d121a11c</t>
  </si>
  <si>
    <t>f3994770-10f7-465c-827e-a3cb35e2877c/d67809b0-f0c7-4afc-bc53-082c7b8abc44</t>
  </si>
  <si>
    <t>40e10f37-c67a-403d-ade8-6036d121a11c/02d61793-8d11-4a35-b0d9-12b657fb9610</t>
  </si>
  <si>
    <t>d67809b0-f0c7-4afc-bc53-082c7b8abc44/f69609b3-bef2-41ce-b9b7-d96339207c8c</t>
  </si>
  <si>
    <t>02d61793-8d11-4a35-b0d9-12b657fb9610/dc1ca581-7820-4406-857a-ff788c084176</t>
  </si>
  <si>
    <t>f69609b3-bef2-41ce-b9b7-d96339207c8c/f3b11428-454c-4dc2-a67b-45bfc63e0143</t>
  </si>
  <si>
    <t>dc1ca581-7820-4406-857a-ff788c084176/4a366cfc-2fa9-4037-abcf-16257979b2be</t>
  </si>
  <si>
    <t>f3b11428-454c-4dc2-a67b-45bfc63e0143/d8114696-f4e3-4021-b117-ef6c2c258fd6</t>
  </si>
  <si>
    <t>4a366cfc-2fa9-4037-abcf-16257979b2be/e557ae69-850b-4ae3-8c64-c88fa35d3617</t>
  </si>
  <si>
    <t>d8114696-f4e3-4021-b117-ef6c2c258fd6/30fded01-f2d6-4674-9915-30274bcf6cf4</t>
  </si>
  <si>
    <t>e557ae69-850b-4ae3-8c64-c88fa35d3617/64b80ea3-510f-4d97-9656-c873dd7f377d</t>
  </si>
  <si>
    <t>30fded01-f2d6-4674-9915-30274bcf6cf4/70da602d-c626-496e-bfbd-7ee16df1c3cc</t>
  </si>
  <si>
    <t>64b80ea3-510f-4d97-9656-c873dd7f377d/f057e575-ec6b-4159-adf2-87329061477f</t>
  </si>
  <si>
    <t>70da602d-c626-496e-bfbd-7ee16df1c3cc/cbde475d-869e-4015-b314-5ec5e5a8ed48</t>
  </si>
  <si>
    <t>f057e575-ec6b-4159-adf2-87329061477f/e526b2ba-3c2c-4e73-84c8-c7661c9abd1c</t>
  </si>
  <si>
    <t>cbde475d-869e-4015-b314-5ec5e5a8ed48/e78e4d52-4fe7-46c5-9a5f-1509827a1d7e</t>
  </si>
  <si>
    <t>e526b2ba-3c2c-4e73-84c8-c7661c9abd1c/aea23bb1-575e-45ea-a8be-9ab1febfdcbf</t>
  </si>
  <si>
    <t>e78e4d52-4fe7-46c5-9a5f-1509827a1d7e/5834a68e-5174-4c0c-bf90-e90b4c5a8bf6</t>
  </si>
  <si>
    <t>aea23bb1-575e-45ea-a8be-9ab1febfdcbf/8eaf8335-260d-4cac-a3d1-42e9df2ad201</t>
  </si>
  <si>
    <t>5834a68e-5174-4c0c-bf90-e90b4c5a8bf6/d610d0da-cb34-41e2-90ff-cb45a5524699</t>
  </si>
  <si>
    <t>8eaf8335-260d-4cac-a3d1-42e9df2ad201/d96639ed-b475-4297-85bf-c42f2ef669dc</t>
  </si>
  <si>
    <t>d610d0da-cb34-41e2-90ff-cb45a5524699/8741bd73-4025-4db3-b090-5004c3c21e2e</t>
  </si>
  <si>
    <t>d96639ed-b475-4297-85bf-c42f2ef669dc/45dbba98-046d-44ad-9d2e-edc07ee7e4d2</t>
  </si>
  <si>
    <t>8741bd73-4025-4db3-b090-5004c3c21e2e/52ce8e2d-1d36-4054-8eca-9d30587917b6</t>
  </si>
  <si>
    <t>45dbba98-046d-44ad-9d2e-edc07ee7e4d2/22760f96-5422-453a-afd5-79545e644bd9</t>
  </si>
  <si>
    <t>52ce8e2d-1d36-4054-8eca-9d30587917b6/23ec68be-ddeb-4c56-b0f9-16cafda610cd</t>
  </si>
  <si>
    <t>22760f96-5422-453a-afd5-79545e644bd9/8c9148fb-c777-46f1-b0d7-5b12822c0135</t>
  </si>
  <si>
    <t>23ec68be-ddeb-4c56-b0f9-16cafda610cd/6dce3bb7-6617-45d2-932c-c0cdf6f3e162</t>
  </si>
  <si>
    <t>8c9148fb-c777-46f1-b0d7-5b12822c0135/99a0144c-78aa-45c8-9070-d1944ef7e8f0</t>
  </si>
  <si>
    <t>6dce3bb7-6617-45d2-932c-c0cdf6f3e162/a5796bdd-f55c-4300-a55d-3a30baf98bff</t>
  </si>
  <si>
    <t>99a0144c-78aa-45c8-9070-d1944ef7e8f0/0119fe10-b79b-4132-8547-f11e1cba592e</t>
  </si>
  <si>
    <t>a5796bdd-f55c-4300-a55d-3a30baf98bff/f9ca54e1-1a06-47a9-81fd-9be7340d4f72</t>
  </si>
  <si>
    <t>Pont de Bezons</t>
  </si>
  <si>
    <t>Parc Pierre Lagravère</t>
  </si>
  <si>
    <t>Victor Basch</t>
  </si>
  <si>
    <t>Jacqueline Auriol</t>
  </si>
  <si>
    <t>Charlebourg</t>
  </si>
  <si>
    <t>Les Fauvelles</t>
  </si>
  <si>
    <t>Faubourg de l'Arche</t>
  </si>
  <si>
    <t>Puteaux</t>
  </si>
  <si>
    <t>Belvédère</t>
  </si>
  <si>
    <t>Les Coteaux</t>
  </si>
  <si>
    <t>Les Milons</t>
  </si>
  <si>
    <t>Suresnes - Longchamp</t>
  </si>
  <si>
    <t>Parc de Saint-Cloud</t>
  </si>
  <si>
    <t>Musée de Sèvres</t>
  </si>
  <si>
    <t>Brimborion</t>
  </si>
  <si>
    <t>Meudon-sur-Seine</t>
  </si>
  <si>
    <t>Les Moulineaux</t>
  </si>
  <si>
    <t>Jacques-Henri Lartigue</t>
  </si>
  <si>
    <t>Issy - Val de Seine</t>
  </si>
  <si>
    <t>Herni Farman</t>
  </si>
  <si>
    <t>Suzanne Lenglen</t>
  </si>
  <si>
    <t>Porte d'Issy</t>
  </si>
  <si>
    <t>T2</t>
  </si>
  <si>
    <t>Pont du Garigliano</t>
  </si>
  <si>
    <t>de2d6f41-f607-41fa-8ace-0a55d25f08d3</t>
  </si>
  <si>
    <t>4949f7e4-eee3-4c17-b449-f5aa18e505b7</t>
  </si>
  <si>
    <t>de2d6f41-f607-41fa-8ace-0a55d25f08d3/edcc8051-a672-48d0-9dfa-b49ba6a06674</t>
  </si>
  <si>
    <t>edcc8051-a672-48d0-9dfa-b49ba6a06674</t>
  </si>
  <si>
    <t>4949f7e4-eee3-4c17-b449-f5aa18e505b7/b1e5cc4f-95f0-4f8e-a38d-bb00d308cc45</t>
  </si>
  <si>
    <t>b1e5cc4f-95f0-4f8e-a38d-bb00d308cc45</t>
  </si>
  <si>
    <t>edcc8051-a672-48d0-9dfa-b49ba6a06674/e348ee0c-7ad7-46e5-adcd-a6857a158d28</t>
  </si>
  <si>
    <t>e348ee0c-7ad7-46e5-adcd-a6857a158d28</t>
  </si>
  <si>
    <t>b1e5cc4f-95f0-4f8e-a38d-bb00d308cc45/8cf26ad8-a64a-4c15-8faa-8cc14d5413e3</t>
  </si>
  <si>
    <t>8cf26ad8-a64a-4c15-8faa-8cc14d5413e3</t>
  </si>
  <si>
    <t>e348ee0c-7ad7-46e5-adcd-a6857a158d28/a1343d46-453c-46c0-9f47-df49d85d629a</t>
  </si>
  <si>
    <t>a1343d46-453c-46c0-9f47-df49d85d629a</t>
  </si>
  <si>
    <t>8cf26ad8-a64a-4c15-8faa-8cc14d5413e3/9eac591b-cf2d-46f7-949c-8940732d73fe</t>
  </si>
  <si>
    <t>9eac591b-cf2d-46f7-949c-8940732d73fe</t>
  </si>
  <si>
    <t>a1343d46-453c-46c0-9f47-df49d85d629a/6622d9aa-cd11-4e8c-ab18-f7af20f33adf</t>
  </si>
  <si>
    <t>6622d9aa-cd11-4e8c-ab18-f7af20f33adf</t>
  </si>
  <si>
    <t>9eac591b-cf2d-46f7-949c-8940732d73fe/4ac93b4d-37f2-4da4-87d6-fb2801e0365a</t>
  </si>
  <si>
    <t>4ac93b4d-37f2-4da4-87d6-fb2801e0365a</t>
  </si>
  <si>
    <t>6622d9aa-cd11-4e8c-ab18-f7af20f33adf/9585be04-3942-40a1-b327-1a9611db1855</t>
  </si>
  <si>
    <t>9585be04-3942-40a1-b327-1a9611db1855</t>
  </si>
  <si>
    <t>4ac93b4d-37f2-4da4-87d6-fb2801e0365a/eb4c95ed-4c47-42c1-aa4f-8d27612bbab8</t>
  </si>
  <si>
    <t>eb4c95ed-4c47-42c1-aa4f-8d27612bbab8</t>
  </si>
  <si>
    <t>9585be04-3942-40a1-b327-1a9611db1855/a30852ed-39d8-4aed-a99c-f62a3002d593</t>
  </si>
  <si>
    <t>a30852ed-39d8-4aed-a99c-f62a3002d593</t>
  </si>
  <si>
    <t>eb4c95ed-4c47-42c1-aa4f-8d27612bbab8/4642451f-7679-4afd-b97e-e4fcd28fe074</t>
  </si>
  <si>
    <t>4642451f-7679-4afd-b97e-e4fcd28fe074</t>
  </si>
  <si>
    <t>a30852ed-39d8-4aed-a99c-f62a3002d593/d66ce2ac-7b32-4782-8688-1f09d8af31e3</t>
  </si>
  <si>
    <t>d66ce2ac-7b32-4782-8688-1f09d8af31e3</t>
  </si>
  <si>
    <t>4642451f-7679-4afd-b97e-e4fcd28fe074/5077c7b4-fd48-47c3-b7d5-6404f665e8a6</t>
  </si>
  <si>
    <t>5077c7b4-fd48-47c3-b7d5-6404f665e8a6</t>
  </si>
  <si>
    <t>d66ce2ac-7b32-4782-8688-1f09d8af31e3/f6641e37-2dde-4f44-9a9b-12bd9c40b587</t>
  </si>
  <si>
    <t>f6641e37-2dde-4f44-9a9b-12bd9c40b587</t>
  </si>
  <si>
    <t>5077c7b4-fd48-47c3-b7d5-6404f665e8a6/6ac86524-b4af-465e-b3e0-a2efb95bff84</t>
  </si>
  <si>
    <t>6ac86524-b4af-465e-b3e0-a2efb95bff84</t>
  </si>
  <si>
    <t>f6641e37-2dde-4f44-9a9b-12bd9c40b587/19f8efd6-0a2e-4846-8c39-18fa1156567b</t>
  </si>
  <si>
    <t>19f8efd6-0a2e-4846-8c39-18fa1156567b</t>
  </si>
  <si>
    <t>6ac86524-b4af-465e-b3e0-a2efb95bff84/786e0c78-8333-4c66-ab35-1a0b3f878233</t>
  </si>
  <si>
    <t>786e0c78-8333-4c66-ab35-1a0b3f878233</t>
  </si>
  <si>
    <t>19f8efd6-0a2e-4846-8c39-18fa1156567b/f4a0c075-3a95-4d47-9c62-ea4959333166</t>
  </si>
  <si>
    <t>f4a0c075-3a95-4d47-9c62-ea4959333166</t>
  </si>
  <si>
    <t>786e0c78-8333-4c66-ab35-1a0b3f878233/30994d70-c159-4c1e-839a-663a7d76feac</t>
  </si>
  <si>
    <t>30994d70-c159-4c1e-839a-663a7d76feac</t>
  </si>
  <si>
    <t>f4a0c075-3a95-4d47-9c62-ea4959333166/1ef92c71-db33-4df4-a6c4-633187a490bb</t>
  </si>
  <si>
    <t>1ef92c71-db33-4df4-a6c4-633187a490bb</t>
  </si>
  <si>
    <t>30994d70-c159-4c1e-839a-663a7d76feac/2938068d-0723-4d9e-ae2e-b6ed2e4cfe1c</t>
  </si>
  <si>
    <t>2938068d-0723-4d9e-ae2e-b6ed2e4cfe1c</t>
  </si>
  <si>
    <t>Desnouettes</t>
  </si>
  <si>
    <t>Georges Brassens</t>
  </si>
  <si>
    <t>Brancion</t>
  </si>
  <si>
    <t>Didot</t>
  </si>
  <si>
    <t>Jean Moulin</t>
  </si>
  <si>
    <t>Montsouris</t>
  </si>
  <si>
    <t>Cité Universitaire</t>
  </si>
  <si>
    <t>Stade Charléty</t>
  </si>
  <si>
    <t>Poterne des Peupliers</t>
  </si>
  <si>
    <t>Maryse Bastié</t>
  </si>
  <si>
    <t>Avenue de France</t>
  </si>
  <si>
    <t>Baron Le Roy</t>
  </si>
  <si>
    <t>Montempoivre</t>
  </si>
  <si>
    <t>Alexandra David-Néel</t>
  </si>
  <si>
    <t>T3A</t>
  </si>
  <si>
    <t>f7dbdbe6-711e-479c-9b6a-c39db81761d8</t>
  </si>
  <si>
    <t>e80bc4f0-68e0-4b55-bc8b-2bb010d95fa2</t>
  </si>
  <si>
    <t>f7dbdbe6-711e-479c-9b6a-c39db81761d8/d1873d67-0045-4aad-9399-f60f0cd6551e</t>
  </si>
  <si>
    <t>d1873d67-0045-4aad-9399-f60f0cd6551e</t>
  </si>
  <si>
    <t>e80bc4f0-68e0-4b55-bc8b-2bb010d95fa2/97fcc8ba-b9b4-42a2-968d-7f440b1074d2</t>
  </si>
  <si>
    <t>97fcc8ba-b9b4-42a2-968d-7f440b1074d2</t>
  </si>
  <si>
    <t>d1873d67-0045-4aad-9399-f60f0cd6551e/7ec0bd17-23e8-4e64-be19-492f4a4de92d</t>
  </si>
  <si>
    <t>7ec0bd17-23e8-4e64-be19-492f4a4de92d</t>
  </si>
  <si>
    <t>97fcc8ba-b9b4-42a2-968d-7f440b1074d2/2b43246c-7a6e-4e78-99ed-5d2f8289f56f</t>
  </si>
  <si>
    <t>2b43246c-7a6e-4e78-99ed-5d2f8289f56f</t>
  </si>
  <si>
    <t>7ec0bd17-23e8-4e64-be19-492f4a4de92d/492a49ce-ad5b-4576-8d24-fa21d1814f0c</t>
  </si>
  <si>
    <t>492a49ce-ad5b-4576-8d24-fa21d1814f0c</t>
  </si>
  <si>
    <t>2b43246c-7a6e-4e78-99ed-5d2f8289f56f/bf34c9f7-334d-44db-95db-9ea5b4a6b13a</t>
  </si>
  <si>
    <t>bf34c9f7-334d-44db-95db-9ea5b4a6b13a</t>
  </si>
  <si>
    <t>492a49ce-ad5b-4576-8d24-fa21d1814f0c/a2f71cab-d5bf-4b2a-b892-89774a1381d4</t>
  </si>
  <si>
    <t>a2f71cab-d5bf-4b2a-b892-89774a1381d4</t>
  </si>
  <si>
    <t>bf34c9f7-334d-44db-95db-9ea5b4a6b13a/f8add28c-dc46-446f-a161-03ab816a27bf</t>
  </si>
  <si>
    <t>f8add28c-dc46-446f-a161-03ab816a27bf</t>
  </si>
  <si>
    <t>a2f71cab-d5bf-4b2a-b892-89774a1381d4/9e5f6279-b8ff-4273-93bb-f893d3376526</t>
  </si>
  <si>
    <t>9e5f6279-b8ff-4273-93bb-f893d3376526</t>
  </si>
  <si>
    <t>f8add28c-dc46-446f-a161-03ab816a27bf/a1553a2c-4959-4472-9e09-18c027f0da2b</t>
  </si>
  <si>
    <t>a1553a2c-4959-4472-9e09-18c027f0da2b</t>
  </si>
  <si>
    <t>9e5f6279-b8ff-4273-93bb-f893d3376526/c49ad2c3-91eb-4f34-978a-40de17509566</t>
  </si>
  <si>
    <t>c49ad2c3-91eb-4f34-978a-40de17509566</t>
  </si>
  <si>
    <t>a1553a2c-4959-4472-9e09-18c027f0da2b/9d8104e7-9a13-4559-9959-b389d98356e1</t>
  </si>
  <si>
    <t>9d8104e7-9a13-4559-9959-b389d98356e1</t>
  </si>
  <si>
    <t>c49ad2c3-91eb-4f34-978a-40de17509566/30005419-968c-4c53-bcb7-ccc399697aff</t>
  </si>
  <si>
    <t>30005419-968c-4c53-bcb7-ccc399697aff</t>
  </si>
  <si>
    <t>9d8104e7-9a13-4559-9959-b389d98356e1/188b043b-c482-4602-8c37-190533196ef7</t>
  </si>
  <si>
    <t>188b043b-c482-4602-8c37-190533196ef7</t>
  </si>
  <si>
    <t>30005419-968c-4c53-bcb7-ccc399697aff/e9f7570a-3665-4b23-a23c-a42135a58f3a</t>
  </si>
  <si>
    <t>e9f7570a-3665-4b23-a23c-a42135a58f3a</t>
  </si>
  <si>
    <t>188b043b-c482-4602-8c37-190533196ef7/442ef402-d0c9-4ac6-9bd8-abd684a41791</t>
  </si>
  <si>
    <t>442ef402-d0c9-4ac6-9bd8-abd684a41791</t>
  </si>
  <si>
    <t>e9f7570a-3665-4b23-a23c-a42135a58f3a/bbbaf369-dad9-4b29-b05e-588c3b02e415</t>
  </si>
  <si>
    <t>bbbaf369-dad9-4b29-b05e-588c3b02e415</t>
  </si>
  <si>
    <t>442ef402-d0c9-4ac6-9bd8-abd684a41791/c89da75e-6e9a-4fcd-b4fd-2b6bd06ed52f</t>
  </si>
  <si>
    <t>c89da75e-6e9a-4fcd-b4fd-2b6bd06ed52f</t>
  </si>
  <si>
    <t>bbbaf369-dad9-4b29-b05e-588c3b02e415/d5f9b87c-2cb3-45ba-9ff6-8b6df61267bc</t>
  </si>
  <si>
    <t>d5f9b87c-2cb3-45ba-9ff6-8b6df61267bc</t>
  </si>
  <si>
    <t>c89da75e-6e9a-4fcd-b4fd-2b6bd06ed52f/d213d242-d52e-4f37-85da-1df1fb4fe539</t>
  </si>
  <si>
    <t>d213d242-d52e-4f37-85da-1df1fb4fe539</t>
  </si>
  <si>
    <t>d5f9b87c-2cb3-45ba-9ff6-8b6df61267bc/c7d36616-ab6d-4299-bb87-8718e2079f2e</t>
  </si>
  <si>
    <t>c7d36616-ab6d-4299-bb87-8718e2079f2e</t>
  </si>
  <si>
    <t>d213d242-d52e-4f37-85da-1df1fb4fe539/512a203e-6d63-4750-9666-0106daa18d8d</t>
  </si>
  <si>
    <t>512a203e-6d63-4750-9666-0106daa18d8d</t>
  </si>
  <si>
    <t>c7d36616-ab6d-4299-bb87-8718e2079f2e/81b5c0e4-c71f-4292-a58b-81c9739aeb09</t>
  </si>
  <si>
    <t>81b5c0e4-c71f-4292-a58b-81c9739aeb09</t>
  </si>
  <si>
    <t>T3B</t>
  </si>
  <si>
    <t>Séverine</t>
  </si>
  <si>
    <t>Marie de Miribel</t>
  </si>
  <si>
    <t>Adrienne Bolland</t>
  </si>
  <si>
    <t>Hôpital Robert Debré</t>
  </si>
  <si>
    <t>Butte du Chapeau Rouge</t>
  </si>
  <si>
    <t>Delphine Seyrig</t>
  </si>
  <si>
    <t>Ella Fitzgerald</t>
  </si>
  <si>
    <t>Canal Saint-Denis</t>
  </si>
  <si>
    <t>Rosa Parks</t>
  </si>
  <si>
    <t>Porte d'Aubervilliers</t>
  </si>
  <si>
    <t>Colette Besson</t>
  </si>
  <si>
    <t>Dianne Arbus</t>
  </si>
  <si>
    <t>Angélique Compoint</t>
  </si>
  <si>
    <t>Epinettes - Pouchet</t>
  </si>
  <si>
    <t>Honoré de Balzac</t>
  </si>
  <si>
    <t>Porte d'Asnières - Marguerite Long</t>
  </si>
  <si>
    <t>860ae6c4-f26c-4b0c-9703-f4a17454ab6d</t>
  </si>
  <si>
    <t>d5a91b3d-8b2c-4739-8132-2942942bcd91</t>
  </si>
  <si>
    <t>860ae6c4-f26c-4b0c-9703-f4a17454ab6d/98ff3639-cf5c-45a9-803f-ca7f60dfd225</t>
  </si>
  <si>
    <t>98ff3639-cf5c-45a9-803f-ca7f60dfd225</t>
  </si>
  <si>
    <t>d5a91b3d-8b2c-4739-8132-2942942bcd91/684ad633-17df-4bfd-b7ea-658b903dcb50</t>
  </si>
  <si>
    <t>684ad633-17df-4bfd-b7ea-658b903dcb50</t>
  </si>
  <si>
    <t>98ff3639-cf5c-45a9-803f-ca7f60dfd225/37db2c49-2eea-4b6b-9858-12492e530aef</t>
  </si>
  <si>
    <t>37db2c49-2eea-4b6b-9858-12492e530aef</t>
  </si>
  <si>
    <t>684ad633-17df-4bfd-b7ea-658b903dcb50/d3c2e1f0-a477-4a66-92d4-6378c1d7934a</t>
  </si>
  <si>
    <t>d3c2e1f0-a477-4a66-92d4-6378c1d7934a</t>
  </si>
  <si>
    <t>37db2c49-2eea-4b6b-9858-12492e530aef/4209adc4-6469-4f80-b037-7392d12ec860</t>
  </si>
  <si>
    <t>4209adc4-6469-4f80-b037-7392d12ec860</t>
  </si>
  <si>
    <t>d3c2e1f0-a477-4a66-92d4-6378c1d7934a/8aa4fc6f-f1e9-4c9d-b9f0-9e19adacb345</t>
  </si>
  <si>
    <t>8aa4fc6f-f1e9-4c9d-b9f0-9e19adacb345</t>
  </si>
  <si>
    <t>4209adc4-6469-4f80-b037-7392d12ec860/d14e2736-d704-4ff0-a14d-bfd5bfb76901</t>
  </si>
  <si>
    <t>d14e2736-d704-4ff0-a14d-bfd5bfb76901</t>
  </si>
  <si>
    <t>8aa4fc6f-f1e9-4c9d-b9f0-9e19adacb345/749ffee9-fd63-45a7-8b93-72cfde50ef4b</t>
  </si>
  <si>
    <t>749ffee9-fd63-45a7-8b93-72cfde50ef4b</t>
  </si>
  <si>
    <t>d14e2736-d704-4ff0-a14d-bfd5bfb76901/6a46571a-87b8-45c4-bc89-d899c09c897e</t>
  </si>
  <si>
    <t>6a46571a-87b8-45c4-bc89-d899c09c897e</t>
  </si>
  <si>
    <t>749ffee9-fd63-45a7-8b93-72cfde50ef4b/3c9d9f68-aa33-4a9c-ae98-bf52960fc55e</t>
  </si>
  <si>
    <t>3c9d9f68-aa33-4a9c-ae98-bf52960fc55e</t>
  </si>
  <si>
    <t>6a46571a-87b8-45c4-bc89-d899c09c897e/e15406eb-c4ce-4508-9b85-462d841ce16d</t>
  </si>
  <si>
    <t>e15406eb-c4ce-4508-9b85-462d841ce16d</t>
  </si>
  <si>
    <t>3c9d9f68-aa33-4a9c-ae98-bf52960fc55e/aa9f05fc-7c80-455e-a28f-7c0d9d388f6e</t>
  </si>
  <si>
    <t>aa9f05fc-7c80-455e-a28f-7c0d9d388f6e</t>
  </si>
  <si>
    <t>e15406eb-c4ce-4508-9b85-462d841ce16d/45702a36-687e-45dc-9975-a02ce684ef9c</t>
  </si>
  <si>
    <t>45702a36-687e-45dc-9975-a02ce684ef9c</t>
  </si>
  <si>
    <t>aa9f05fc-7c80-455e-a28f-7c0d9d388f6e/8fa2722b-3ca3-4873-a030-a3cda89ded50</t>
  </si>
  <si>
    <t>8fa2722b-3ca3-4873-a030-a3cda89ded50</t>
  </si>
  <si>
    <t>45702a36-687e-45dc-9975-a02ce684ef9c/9ee3d3fe-736b-44e2-b0bf-bdce1f44bb89</t>
  </si>
  <si>
    <t>9ee3d3fe-736b-44e2-b0bf-bdce1f44bb89</t>
  </si>
  <si>
    <t>8fa2722b-3ca3-4873-a030-a3cda89ded50/eebafe7f-38f3-4eff-834b-5bf227c3a249</t>
  </si>
  <si>
    <t>eebafe7f-38f3-4eff-834b-5bf227c3a249</t>
  </si>
  <si>
    <t>9ee3d3fe-736b-44e2-b0bf-bdce1f44bb89/a1b8e89b-d804-4c4e-849f-bf679837a71a</t>
  </si>
  <si>
    <t>a1b8e89b-d804-4c4e-849f-bf679837a71a</t>
  </si>
  <si>
    <t>eebafe7f-38f3-4eff-834b-5bf227c3a249/c745997a-4e24-4c94-924b-1409c54ad40c</t>
  </si>
  <si>
    <t>c745997a-4e24-4c94-924b-1409c54ad40c</t>
  </si>
  <si>
    <t>a1b8e89b-d804-4c4e-849f-bf679837a71a/4bd25c10-1b69-4aa2-8a97-b316375779e0</t>
  </si>
  <si>
    <t>4bd25c10-1b69-4aa2-8a97-b316375779e0</t>
  </si>
  <si>
    <t>c745997a-4e24-4c94-924b-1409c54ad40c/d96dc1f7-5bef-4926-91f7-39bc7bf413e9</t>
  </si>
  <si>
    <t>d96dc1f7-5bef-4926-91f7-39bc7bf413e9</t>
  </si>
  <si>
    <t>4bd25c10-1b69-4aa2-8a97-b316375779e0/2a74d8ba-7e8a-42c7-8399-015ca74328cb</t>
  </si>
  <si>
    <t>2a74d8ba-7e8a-42c7-8399-015ca74328cb</t>
  </si>
  <si>
    <t>d96dc1f7-5bef-4926-91f7-39bc7bf413e9/0b9e9e19-b0ce-4317-a450-52f211d2c47a</t>
  </si>
  <si>
    <t>0b9e9e19-b0ce-4317-a450-52f211d2c47a</t>
  </si>
  <si>
    <t>2a74d8ba-7e8a-42c7-8399-015ca74328cb/09920331-27e6-4431-9f00-aa2cef953f19</t>
  </si>
  <si>
    <t>09920331-27e6-4431-9f00-aa2cef953f19</t>
  </si>
  <si>
    <t>0b9e9e19-b0ce-4317-a450-52f211d2c47a/0219a673-ae3f-41aa-bf3f-830ef64cb3a5</t>
  </si>
  <si>
    <t>0219a673-ae3f-41aa-bf3f-830ef64cb3a5</t>
  </si>
  <si>
    <t>Saint-Lazare / Opéra</t>
  </si>
  <si>
    <t>Havre - Caumartin / Quatre-Septembre</t>
  </si>
  <si>
    <t>Opéra / Bourse</t>
  </si>
  <si>
    <t>Quatre-Septembre / Sentier</t>
  </si>
  <si>
    <t>Bourse / Réaumur - Sébastopol</t>
  </si>
  <si>
    <t>Sentier / Arts et Métiers</t>
  </si>
  <si>
    <t>Réaumur - Sébastopol / Temple</t>
  </si>
  <si>
    <t>Arts et Métiers / République</t>
  </si>
  <si>
    <t>Temple / Parmentier</t>
  </si>
  <si>
    <t>République / Rue Saint-Maur</t>
  </si>
  <si>
    <t>Parmentier / Père Lachaise</t>
  </si>
  <si>
    <t>Rue Saint-Maur / Gambetta</t>
  </si>
  <si>
    <t>Père Lachaise / Porte de Bagnolet</t>
  </si>
  <si>
    <t>Gambetta / Gallieni</t>
  </si>
  <si>
    <t>Asnières Gennevilliers - Les Courtilles / Le Village</t>
  </si>
  <si>
    <t>Le Luth / Timbaud</t>
  </si>
  <si>
    <t>Le Village / Gennevilliers - Gare</t>
  </si>
  <si>
    <t>Timbaud / Parc des Chanteraines</t>
  </si>
  <si>
    <t>Gennevilliers - Gare / Chemin des Reniers</t>
  </si>
  <si>
    <t>Parc des Chanteraines / La Noue</t>
  </si>
  <si>
    <t>Chemin des Reniers / Mairie de Villeneuve-la-Garenne</t>
  </si>
  <si>
    <t>La Noue / L'Ile Saint-Denis</t>
  </si>
  <si>
    <t>Mairie de Villeneuve-la-Garenne / Saint-Denis - Gare</t>
  </si>
  <si>
    <t>L'Ile Saint-Denis / Théâtre Gérard Philipe</t>
  </si>
  <si>
    <t>Saint-Denis - Gare / Marché de Saint-Denis</t>
  </si>
  <si>
    <t>Théâtre Gérard Philipe / Basilique de Saint-Denis</t>
  </si>
  <si>
    <t>Marché de Saint-Denis / Cimétière de Saint-Denis</t>
  </si>
  <si>
    <t>Basilique de Saint-Denis / Hôpital Delafontaine</t>
  </si>
  <si>
    <t>Cimétière de Saint-Denis / Cosmonautes</t>
  </si>
  <si>
    <t>Hôpital Delafontaine / La Courneuve - 6 Routes</t>
  </si>
  <si>
    <t>Cosmonautes / Hôtel de Ville de La Courneuve</t>
  </si>
  <si>
    <t>La Courneuve - 6 Routes / Stade Géo André</t>
  </si>
  <si>
    <t>Hôtel de Ville de La Courneuve / Danton</t>
  </si>
  <si>
    <t>Stade Géo André / La Courneuve - 8 Mai 1945</t>
  </si>
  <si>
    <t>Danton / Maurice Lachâtre</t>
  </si>
  <si>
    <t>La Courneuve - 8 Mai 1945 / Drancy - Avenir</t>
  </si>
  <si>
    <t>Maurice Lachâtre / Hôpital Avicenne</t>
  </si>
  <si>
    <t>Drancy - Avenir / Gaston Rouland</t>
  </si>
  <si>
    <t>Hôpital Avicenne / Escadrille Normandie-Niémen</t>
  </si>
  <si>
    <t>Gaston Rouland / La Ferme</t>
  </si>
  <si>
    <t>Escadrille Normandie-Niémen / Libération</t>
  </si>
  <si>
    <t>La Ferme / Hotel de Ville de Bobigny</t>
  </si>
  <si>
    <t>Libération / Bobigny - Pablo Picasso</t>
  </si>
  <si>
    <t>Hotel de Ville de Bobigny / Jean Rostand</t>
  </si>
  <si>
    <t>Bobigny - Pablo Picasso / Auguste Delaune</t>
  </si>
  <si>
    <t>Jean Rostand / Pont de Bondy</t>
  </si>
  <si>
    <t>Auguste Delaune / Petit Noisy</t>
  </si>
  <si>
    <t>Pont de Bondy / Noisy-le-Sec Gare</t>
  </si>
  <si>
    <t>Pont de Bezons / Victor Basch</t>
  </si>
  <si>
    <t>Parc Pierre Lagravère / Jacqueline Auriol</t>
  </si>
  <si>
    <t>Victor Basch / Charlebourg</t>
  </si>
  <si>
    <t>Jacqueline Auriol / Les Fauvelles</t>
  </si>
  <si>
    <t>Charlebourg / Faubourg de l'Arche</t>
  </si>
  <si>
    <t>Les Fauvelles / La Défense Grande Arche</t>
  </si>
  <si>
    <t>Faubourg de l'Arche / Puteaux</t>
  </si>
  <si>
    <t>La Défense Grande Arche / Belvédère</t>
  </si>
  <si>
    <t>Puteaux / Suresnes - Longchamp</t>
  </si>
  <si>
    <t>Belvédère / Les Coteaux</t>
  </si>
  <si>
    <t>Suresnes - Longchamp / Les Milons</t>
  </si>
  <si>
    <t>Les Coteaux / Parc de Saint-Cloud</t>
  </si>
  <si>
    <t>Les Milons / Musée de Sèvres</t>
  </si>
  <si>
    <t>Parc de Saint-Cloud / Brimborion</t>
  </si>
  <si>
    <t>Musée de Sèvres / Meudon-sur-Seine</t>
  </si>
  <si>
    <t>Brimborion / Les Moulineaux</t>
  </si>
  <si>
    <t>Meudon-sur-Seine / Jacques-Henri Lartigue</t>
  </si>
  <si>
    <t>Les Moulineaux / Issy - Val de Seine</t>
  </si>
  <si>
    <t>Jacques-Henri Lartigue / Herni Farman</t>
  </si>
  <si>
    <t>Issy - Val de Seine / Suzanne Lenglen</t>
  </si>
  <si>
    <t>Herni Farman / Porte d'Issy</t>
  </si>
  <si>
    <t>Suzanne Lenglen / Porte de Versailles</t>
  </si>
  <si>
    <t>Pont du Garigliano / Desnouettes</t>
  </si>
  <si>
    <t>Balard / Porte de Versailles</t>
  </si>
  <si>
    <t>Desnouettes / Georges Brassens</t>
  </si>
  <si>
    <t>Porte de Versailles / Brancion</t>
  </si>
  <si>
    <t>Georges Brassens / Porte de Vanves</t>
  </si>
  <si>
    <t>Brancion / Didot</t>
  </si>
  <si>
    <t>Porte de Vanves / Jean Moulin</t>
  </si>
  <si>
    <t>Jean Moulin / Montsouris</t>
  </si>
  <si>
    <t>Montsouris / Stade Charléty</t>
  </si>
  <si>
    <t>Cité Universitaire / Poterne des Peupliers</t>
  </si>
  <si>
    <t>Stade Charléty / Porte d'Italie</t>
  </si>
  <si>
    <t>Poterne des Peupliers / Porte de Choisy</t>
  </si>
  <si>
    <t>Porte de Choisy / Maryse Bastié</t>
  </si>
  <si>
    <t>Porte d'Ivry / Avenue de France</t>
  </si>
  <si>
    <t>Maryse Bastié / Baron Le Roy</t>
  </si>
  <si>
    <t>Avenue de France / Porte de Charenton</t>
  </si>
  <si>
    <t>Baron Le Roy / Porte Dorée</t>
  </si>
  <si>
    <t>Porte de Charenton / Montempoivre</t>
  </si>
  <si>
    <t>Porte Dorée / Alexandra David-Néel</t>
  </si>
  <si>
    <t>Montempoivre / Porte de Vincennes</t>
  </si>
  <si>
    <t>Porte de Vincennes / Marie de Miribel</t>
  </si>
  <si>
    <t>Porte de Montreuil / Porte de Bagnolet</t>
  </si>
  <si>
    <t>Marie de Miribel / Séverine</t>
  </si>
  <si>
    <t>Porte de Bagnolet / Adrienne Bolland</t>
  </si>
  <si>
    <t>Séverine / Porte des Lilas</t>
  </si>
  <si>
    <t>Adrienne Bolland / Hôpital Robert Debré</t>
  </si>
  <si>
    <t>Porte des Lilas / Butte du Chapeau Rouge</t>
  </si>
  <si>
    <t>Hôpital Robert Debré / Porte de Pantin</t>
  </si>
  <si>
    <t>Butte du Chapeau Rouge / Delphine Seyrig</t>
  </si>
  <si>
    <t>Porte de Pantin / Ella Fitzgerald</t>
  </si>
  <si>
    <t>Delphine Seyrig / Porte de la Villette</t>
  </si>
  <si>
    <t>Ella Fitzgerald / Canal Saint-Denis</t>
  </si>
  <si>
    <t>Porte de la Villette / Rosa Parks</t>
  </si>
  <si>
    <t>Canal Saint-Denis / Porte d'Aubervilliers</t>
  </si>
  <si>
    <t>Rosa Parks / Colette Besson</t>
  </si>
  <si>
    <t>Porte d'Aubervilliers / Porte de la Chapelle</t>
  </si>
  <si>
    <t>Colette Besson / Dianne Arbus</t>
  </si>
  <si>
    <t>Porte de la Chapelle / Porte de Clignancourt</t>
  </si>
  <si>
    <t>Dianne Arbus / Angélique Compoint</t>
  </si>
  <si>
    <t>Porte de Clignancourt / Porte de Saint-Ouen</t>
  </si>
  <si>
    <t>Angélique Compoint / Epinettes - Pouchet</t>
  </si>
  <si>
    <t>Porte de Saint-Ouen / Honoré de Balzac</t>
  </si>
  <si>
    <t>Epinettes - Pouchet / Porte de Clichy</t>
  </si>
  <si>
    <t>Honoré de Balzac / Porte d'Asnières - Marguerite Long</t>
  </si>
  <si>
    <t>T4</t>
  </si>
  <si>
    <t>T5</t>
  </si>
  <si>
    <t>T6</t>
  </si>
  <si>
    <t>T7</t>
  </si>
  <si>
    <t>T11</t>
  </si>
  <si>
    <t>T8</t>
  </si>
  <si>
    <t>NB_CHECK</t>
  </si>
  <si>
    <t>TOTAL_DURATION</t>
  </si>
  <si>
    <t>DURATION_PER_STOP</t>
  </si>
  <si>
    <t>Bondy</t>
  </si>
  <si>
    <t>La Remise à Jorelle</t>
  </si>
  <si>
    <t>Les Coquetiers</t>
  </si>
  <si>
    <t>Allée de la Tour - Rendez-vous</t>
  </si>
  <si>
    <t>Les Pavillons-sous-Bois</t>
  </si>
  <si>
    <t>Gargan</t>
  </si>
  <si>
    <t>Lycée Henri Sellier</t>
  </si>
  <si>
    <t>L'Abbaye</t>
  </si>
  <si>
    <t>Freinville Sevran</t>
  </si>
  <si>
    <t>Rougemont Chanteloup</t>
  </si>
  <si>
    <t>Aulnay-sous-Bois</t>
  </si>
  <si>
    <t>Baudelaire</t>
  </si>
  <si>
    <t>Roger Sémat</t>
  </si>
  <si>
    <t>Guynemer</t>
  </si>
  <si>
    <t>Petit Pierrefitte</t>
  </si>
  <si>
    <t>Joncherolles</t>
  </si>
  <si>
    <t>Suzanne Valadon</t>
  </si>
  <si>
    <t>Mairie de Pierrefitte</t>
  </si>
  <si>
    <t>Alcide d'Orbigny</t>
  </si>
  <si>
    <t>Jacques Prévert</t>
  </si>
  <si>
    <t>Butte Pinson</t>
  </si>
  <si>
    <t>Les Cholettes</t>
  </si>
  <si>
    <t>Les Flanades</t>
  </si>
  <si>
    <t>Paul Valéry</t>
  </si>
  <si>
    <t>Lochères</t>
  </si>
  <si>
    <t>Garges - Sarcelles</t>
  </si>
  <si>
    <t>Viroflay - Rive Droite</t>
  </si>
  <si>
    <t>Viroflay - Rive Gauche</t>
  </si>
  <si>
    <t>Robert Wagner</t>
  </si>
  <si>
    <t>L'Onde</t>
  </si>
  <si>
    <t>Mairie de Vélizy</t>
  </si>
  <si>
    <t>Louvois</t>
  </si>
  <si>
    <t>Inovel Parc Nord</t>
  </si>
  <si>
    <t>Dewoitine</t>
  </si>
  <si>
    <t>Vélizy 2</t>
  </si>
  <si>
    <t>Meudon-la-Forêt</t>
  </si>
  <si>
    <t>Georges Millandy</t>
  </si>
  <si>
    <t>Georges Pompidou</t>
  </si>
  <si>
    <t>Pavé Blanc</t>
  </si>
  <si>
    <t>Mail de la Plaine</t>
  </si>
  <si>
    <t>Hôpital Béclère</t>
  </si>
  <si>
    <t>Soeil Levant</t>
  </si>
  <si>
    <t>Division Leclerc</t>
  </si>
  <si>
    <t>Parc André Malraux</t>
  </si>
  <si>
    <t>Centre de Châtillon</t>
  </si>
  <si>
    <t>Vauban</t>
  </si>
  <si>
    <t>Lamartine</t>
  </si>
  <si>
    <t>Domaine Chérioux</t>
  </si>
  <si>
    <t>Moulin Vert</t>
  </si>
  <si>
    <t>Bretagne</t>
  </si>
  <si>
    <t>Auguste Perret</t>
  </si>
  <si>
    <t>Porte de Thiais</t>
  </si>
  <si>
    <t>La Belle Epine</t>
  </si>
  <si>
    <t>Place de la Logistique</t>
  </si>
  <si>
    <t>Porte de Rungis</t>
  </si>
  <si>
    <t>Saarinen</t>
  </si>
  <si>
    <t>Robert Schuman</t>
  </si>
  <si>
    <t>La Fraternelle</t>
  </si>
  <si>
    <t>Hélène Boucher</t>
  </si>
  <si>
    <t>Caroline Aigle</t>
  </si>
  <si>
    <t>Cœur d'Orly</t>
  </si>
  <si>
    <t>Aéroport d'Orly</t>
  </si>
  <si>
    <t>Athis-Mons - Porte de l'Essonne</t>
  </si>
  <si>
    <t>Epinay - Orgemont</t>
  </si>
  <si>
    <t>Epinay-sur-Seine - Gare</t>
  </si>
  <si>
    <t>Gilbert Bonnemaison</t>
  </si>
  <si>
    <t>Lacépède</t>
  </si>
  <si>
    <t>Rose Bertin</t>
  </si>
  <si>
    <t>Les Béatus</t>
  </si>
  <si>
    <t>Les Mobiles</t>
  </si>
  <si>
    <t>Blumenthal</t>
  </si>
  <si>
    <t>Delaunay-Belleville</t>
  </si>
  <si>
    <t>Villetaneuse - Université</t>
  </si>
  <si>
    <t>Pablo Neruda</t>
  </si>
  <si>
    <t>Jean Vilar</t>
  </si>
  <si>
    <t>César</t>
  </si>
  <si>
    <t>Paul Eluard</t>
  </si>
  <si>
    <t>Pierre De Geyter</t>
  </si>
  <si>
    <t>Saint-Denis - Porte de Paris</t>
  </si>
  <si>
    <t>Epinay - Villetaneuse</t>
  </si>
  <si>
    <t>Pierrefitte - Stains</t>
  </si>
  <si>
    <t>Stains - La Cerisaie</t>
  </si>
  <si>
    <t>Dugny - La Courneuve</t>
  </si>
  <si>
    <t>Le Bourget</t>
  </si>
  <si>
    <t>c629918c-058d-4679-b679-4a7e949fc161</t>
  </si>
  <si>
    <t>7ac44109-933d-4166-a27d-c5c1a9400a4d</t>
  </si>
  <si>
    <t>c629918c-058d-4679-b679-4a7e949fc161/efad9eca-0f61-4305-9ea4-cb97e7e3c1ee</t>
  </si>
  <si>
    <t>efad9eca-0f61-4305-9ea4-cb97e7e3c1ee</t>
  </si>
  <si>
    <t>7ac44109-933d-4166-a27d-c5c1a9400a4d/2521e98d-54d6-4a66-9aee-1b5444465d17</t>
  </si>
  <si>
    <t>2521e98d-54d6-4a66-9aee-1b5444465d17</t>
  </si>
  <si>
    <t>efad9eca-0f61-4305-9ea4-cb97e7e3c1ee/4b36d935-75db-448c-9476-cef85202d53e</t>
  </si>
  <si>
    <t>4b36d935-75db-448c-9476-cef85202d53e</t>
  </si>
  <si>
    <t>2521e98d-54d6-4a66-9aee-1b5444465d17/01436b08-d5c8-49cc-91ef-372137d833a0</t>
  </si>
  <si>
    <t>01436b08-d5c8-49cc-91ef-372137d833a0</t>
  </si>
  <si>
    <t>4b36d935-75db-448c-9476-cef85202d53e/ad3a29b1-dca2-46a6-bb21-e3f39b4f2cac</t>
  </si>
  <si>
    <t>ad3a29b1-dca2-46a6-bb21-e3f39b4f2cac</t>
  </si>
  <si>
    <t>01436b08-d5c8-49cc-91ef-372137d833a0/b9bf8a23-c286-4e45-bd97-96b548a1aaac</t>
  </si>
  <si>
    <t>b9bf8a23-c286-4e45-bd97-96b548a1aaac</t>
  </si>
  <si>
    <t>ad3a29b1-dca2-46a6-bb21-e3f39b4f2cac/61347513-9085-4eab-a3a8-5c6c7a57a38a</t>
  </si>
  <si>
    <t>61347513-9085-4eab-a3a8-5c6c7a57a38a</t>
  </si>
  <si>
    <t>b9bf8a23-c286-4e45-bd97-96b548a1aaac/e4873286-7c2c-45c5-9192-31ce7fef2f1d</t>
  </si>
  <si>
    <t>e4873286-7c2c-45c5-9192-31ce7fef2f1d</t>
  </si>
  <si>
    <t>61347513-9085-4eab-a3a8-5c6c7a57a38a/f2e45860-ab52-4dc6-8eae-9c5461e3eed0</t>
  </si>
  <si>
    <t>f2e45860-ab52-4dc6-8eae-9c5461e3eed0</t>
  </si>
  <si>
    <t>13d01e4f-9c0c-48f4-89a0-e5cea1c492a7</t>
  </si>
  <si>
    <t>1a62b952-fb31-483f-b7cd-497c96c4883c</t>
  </si>
  <si>
    <t>13d01e4f-9c0c-48f4-89a0-e5cea1c492a7/31b12f24-15d0-4f32-a6b6-85e98285a7d4</t>
  </si>
  <si>
    <t>31b12f24-15d0-4f32-a6b6-85e98285a7d4</t>
  </si>
  <si>
    <t>1a62b952-fb31-483f-b7cd-497c96c4883c/1396047e-9442-4cf3-bea8-48b1480642ca</t>
  </si>
  <si>
    <t>1396047e-9442-4cf3-bea8-48b1480642ca</t>
  </si>
  <si>
    <t>31b12f24-15d0-4f32-a6b6-85e98285a7d4/512a8c78-a8b8-4197-8c2b-f2b7c36726de</t>
  </si>
  <si>
    <t>512a8c78-a8b8-4197-8c2b-f2b7c36726de</t>
  </si>
  <si>
    <t>1396047e-9442-4cf3-bea8-48b1480642ca/a8fa5784-4af6-4397-96f8-156b42579e04</t>
  </si>
  <si>
    <t>a8fa5784-4af6-4397-96f8-156b42579e04</t>
  </si>
  <si>
    <t>512a8c78-a8b8-4197-8c2b-f2b7c36726de/086e7c15-7ed1-436c-86b2-e2de8e0f150b</t>
  </si>
  <si>
    <t>086e7c15-7ed1-436c-86b2-e2de8e0f150b</t>
  </si>
  <si>
    <t>a8fa5784-4af6-4397-96f8-156b42579e04/c81b2a60-0400-4c58-89f8-ffc37ce21c50</t>
  </si>
  <si>
    <t>c81b2a60-0400-4c58-89f8-ffc37ce21c50</t>
  </si>
  <si>
    <t>086e7c15-7ed1-436c-86b2-e2de8e0f150b/a6e994ff-5d41-4560-a372-d4c42f4028a1</t>
  </si>
  <si>
    <t>a6e994ff-5d41-4560-a372-d4c42f4028a1</t>
  </si>
  <si>
    <t>c81b2a60-0400-4c58-89f8-ffc37ce21c50/fac7f2ba-8fa0-4b87-affd-ee5d01498ac0</t>
  </si>
  <si>
    <t>fac7f2ba-8fa0-4b87-affd-ee5d01498ac0</t>
  </si>
  <si>
    <t>a6e994ff-5d41-4560-a372-d4c42f4028a1/6051d85e-871b-4c89-a717-f5ee5985803a</t>
  </si>
  <si>
    <t>6051d85e-871b-4c89-a717-f5ee5985803a</t>
  </si>
  <si>
    <t>fac7f2ba-8fa0-4b87-affd-ee5d01498ac0/62893dca-0032-4dd8-9c70-d7fa690cf816</t>
  </si>
  <si>
    <t>62893dca-0032-4dd8-9c70-d7fa690cf816</t>
  </si>
  <si>
    <t>6051d85e-871b-4c89-a717-f5ee5985803a/1bd33a5c-1356-419b-8071-e0d026bfe854</t>
  </si>
  <si>
    <t>1bd33a5c-1356-419b-8071-e0d026bfe854</t>
  </si>
  <si>
    <t>62893dca-0032-4dd8-9c70-d7fa690cf816/ee9bc69e-be4f-4d3a-85ae-1ad873368af2</t>
  </si>
  <si>
    <t>ee9bc69e-be4f-4d3a-85ae-1ad873368af2</t>
  </si>
  <si>
    <t>1bd33a5c-1356-419b-8071-e0d026bfe854/7e2c7271-35d4-49c5-a9e1-5c83836b5fe8</t>
  </si>
  <si>
    <t>7e2c7271-35d4-49c5-a9e1-5c83836b5fe8</t>
  </si>
  <si>
    <t>ee9bc69e-be4f-4d3a-85ae-1ad873368af2/b618fba3-3687-4ffd-87bf-b3e3db0ff794</t>
  </si>
  <si>
    <t>b618fba3-3687-4ffd-87bf-b3e3db0ff794</t>
  </si>
  <si>
    <t>69ad7986-9ba3-4b96-971a-eeba9a1a3a22</t>
  </si>
  <si>
    <t>e6085529-e420-48e1-a657-0026bfa3432f</t>
  </si>
  <si>
    <t>69ad7986-9ba3-4b96-971a-eeba9a1a3a22/c6f3a9bd-48db-4802-9a1b-c4754d4d8deb</t>
  </si>
  <si>
    <t>c6f3a9bd-48db-4802-9a1b-c4754d4d8deb</t>
  </si>
  <si>
    <t>e6085529-e420-48e1-a657-0026bfa3432f/e7258eb4-02b3-4f57-ae05-82eb0372988e</t>
  </si>
  <si>
    <t>e7258eb4-02b3-4f57-ae05-82eb0372988e</t>
  </si>
  <si>
    <t>c6f3a9bd-48db-4802-9a1b-c4754d4d8deb/8cedbeb9-2b4f-4eb1-ac96-907e7bc2b519</t>
  </si>
  <si>
    <t>8cedbeb9-2b4f-4eb1-ac96-907e7bc2b519</t>
  </si>
  <si>
    <t>e7258eb4-02b3-4f57-ae05-82eb0372988e/f6c3097b-15e8-4244-a4f2-df5a5f1ccb21</t>
  </si>
  <si>
    <t>f6c3097b-15e8-4244-a4f2-df5a5f1ccb21</t>
  </si>
  <si>
    <t>8cedbeb9-2b4f-4eb1-ac96-907e7bc2b519/ce61977b-620f-40dd-9e7f-8f2a38280b88</t>
  </si>
  <si>
    <t>ce61977b-620f-40dd-9e7f-8f2a38280b88</t>
  </si>
  <si>
    <t>f6c3097b-15e8-4244-a4f2-df5a5f1ccb21/0f18f46b-eefa-4a6a-b169-3e473844f51a</t>
  </si>
  <si>
    <t>0f18f46b-eefa-4a6a-b169-3e473844f51a</t>
  </si>
  <si>
    <t>ce61977b-620f-40dd-9e7f-8f2a38280b88/c0e9f85e-5481-4352-a4d4-f926874e1878</t>
  </si>
  <si>
    <t>c0e9f85e-5481-4352-a4d4-f926874e1878</t>
  </si>
  <si>
    <t>0f18f46b-eefa-4a6a-b169-3e473844f51a/1129a184-5d5a-446a-a1ae-761a258b0f74</t>
  </si>
  <si>
    <t>1129a184-5d5a-446a-a1ae-761a258b0f74</t>
  </si>
  <si>
    <t>c0e9f85e-5481-4352-a4d4-f926874e1878/58889bff-aa45-4a01-ad93-78a87283d3c4</t>
  </si>
  <si>
    <t>58889bff-aa45-4a01-ad93-78a87283d3c4</t>
  </si>
  <si>
    <t>1129a184-5d5a-446a-a1ae-761a258b0f74/9792ff5a-6860-4043-acd1-961dfede7742</t>
  </si>
  <si>
    <t>9792ff5a-6860-4043-acd1-961dfede7742</t>
  </si>
  <si>
    <t>58889bff-aa45-4a01-ad93-78a87283d3c4/eac57299-3747-47fd-9a9a-c8847932aeb6</t>
  </si>
  <si>
    <t>eac57299-3747-47fd-9a9a-c8847932aeb6</t>
  </si>
  <si>
    <t>9792ff5a-6860-4043-acd1-961dfede7742/d0c02e1c-13d4-4835-90e4-617c42b757bb</t>
  </si>
  <si>
    <t>d0c02e1c-13d4-4835-90e4-617c42b757bb</t>
  </si>
  <si>
    <t>eac57299-3747-47fd-9a9a-c8847932aeb6/cf8bf7b5-5e1c-48eb-8f39-eba4fb2e1266</t>
  </si>
  <si>
    <t>cf8bf7b5-5e1c-48eb-8f39-eba4fb2e1266</t>
  </si>
  <si>
    <t>d0c02e1c-13d4-4835-90e4-617c42b757bb/700e7631-8f22-435b-a87f-b0dd4db68943</t>
  </si>
  <si>
    <t>700e7631-8f22-435b-a87f-b0dd4db68943</t>
  </si>
  <si>
    <t>cf8bf7b5-5e1c-48eb-8f39-eba4fb2e1266/5e9fa488-8d0d-4c8e-9aa3-98e34adea8d6</t>
  </si>
  <si>
    <t>5e9fa488-8d0d-4c8e-9aa3-98e34adea8d6</t>
  </si>
  <si>
    <t>700e7631-8f22-435b-a87f-b0dd4db68943/81a00112-3310-4949-995d-4638a4ff70d9</t>
  </si>
  <si>
    <t>81a00112-3310-4949-995d-4638a4ff70d9</t>
  </si>
  <si>
    <t>5e9fa488-8d0d-4c8e-9aa3-98e34adea8d6/bc054635-d16d-41ac-8958-5af4345d9da4</t>
  </si>
  <si>
    <t>bc054635-d16d-41ac-8958-5af4345d9da4</t>
  </si>
  <si>
    <t>81a00112-3310-4949-995d-4638a4ff70d9/43bd9f87-2dfc-42ac-a25c-3cd7cf952414</t>
  </si>
  <si>
    <t>43bd9f87-2dfc-42ac-a25c-3cd7cf952414</t>
  </si>
  <si>
    <t>bc054635-d16d-41ac-8958-5af4345d9da4/1af953a2-e746-4a0b-bd54-4408a3c969d0</t>
  </si>
  <si>
    <t>1af953a2-e746-4a0b-bd54-4408a3c969d0</t>
  </si>
  <si>
    <t>2530624b-ad0d-417f-a67b-6e458619403a</t>
  </si>
  <si>
    <t>844945b0-0a5a-441a-9283-a3baccbec895</t>
  </si>
  <si>
    <t>2530624b-ad0d-417f-a67b-6e458619403a/e98d88dc-042b-453a-8478-9cd0522bd3ce</t>
  </si>
  <si>
    <t>e98d88dc-042b-453a-8478-9cd0522bd3ce</t>
  </si>
  <si>
    <t>844945b0-0a5a-441a-9283-a3baccbec895/481e23e7-fc8e-45f0-b479-f29cdcf20788</t>
  </si>
  <si>
    <t>481e23e7-fc8e-45f0-b479-f29cdcf20788</t>
  </si>
  <si>
    <t>e98d88dc-042b-453a-8478-9cd0522bd3ce/201b3231-7a15-462e-bae7-6e09d0e14f39</t>
  </si>
  <si>
    <t>201b3231-7a15-462e-bae7-6e09d0e14f39</t>
  </si>
  <si>
    <t>481e23e7-fc8e-45f0-b479-f29cdcf20788/94e034e7-7476-4607-96b0-7d15a351cda4</t>
  </si>
  <si>
    <t>94e034e7-7476-4607-96b0-7d15a351cda4</t>
  </si>
  <si>
    <t>201b3231-7a15-462e-bae7-6e09d0e14f39/200dde2d-f470-4bfd-a5b6-628d10f70696</t>
  </si>
  <si>
    <t>200dde2d-f470-4bfd-a5b6-628d10f70696</t>
  </si>
  <si>
    <t>94e034e7-7476-4607-96b0-7d15a351cda4/15dd6790-45d7-4d47-8b66-2576496c2b96</t>
  </si>
  <si>
    <t>15dd6790-45d7-4d47-8b66-2576496c2b96</t>
  </si>
  <si>
    <t>200dde2d-f470-4bfd-a5b6-628d10f70696/de1810cf-f18e-45f8-bf30-5cafb36ae33c</t>
  </si>
  <si>
    <t>de1810cf-f18e-45f8-bf30-5cafb36ae33c</t>
  </si>
  <si>
    <t>15dd6790-45d7-4d47-8b66-2576496c2b96/655a94f3-09db-4cc1-83af-33ca6aef2480</t>
  </si>
  <si>
    <t>655a94f3-09db-4cc1-83af-33ca6aef2480</t>
  </si>
  <si>
    <t>de1810cf-f18e-45f8-bf30-5cafb36ae33c/cf8e2a2a-925b-4b01-8d27-2ab19aeb793b</t>
  </si>
  <si>
    <t>cf8e2a2a-925b-4b01-8d27-2ab19aeb793b</t>
  </si>
  <si>
    <t>655a94f3-09db-4cc1-83af-33ca6aef2480/69a21709-603a-4ba5-8d2b-38f30df1027e</t>
  </si>
  <si>
    <t>69a21709-603a-4ba5-8d2b-38f30df1027e</t>
  </si>
  <si>
    <t>cf8e2a2a-925b-4b01-8d27-2ab19aeb793b/64ce6b66-de67-4011-87f8-ae023ed4d32f</t>
  </si>
  <si>
    <t>64ce6b66-de67-4011-87f8-ae023ed4d32f</t>
  </si>
  <si>
    <t>69a21709-603a-4ba5-8d2b-38f30df1027e/3cad124b-9574-40f3-8bd9-58625a3be47b</t>
  </si>
  <si>
    <t>3cad124b-9574-40f3-8bd9-58625a3be47b</t>
  </si>
  <si>
    <t>64ce6b66-de67-4011-87f8-ae023ed4d32f/e6ce06c5-1ea1-4bb5-ad4d-06f5904672e1</t>
  </si>
  <si>
    <t>e6ce06c5-1ea1-4bb5-ad4d-06f5904672e1</t>
  </si>
  <si>
    <t>3cad124b-9574-40f3-8bd9-58625a3be47b/d1752386-6b89-4882-bee5-4920d58348f3</t>
  </si>
  <si>
    <t>d1752386-6b89-4882-bee5-4920d58348f3</t>
  </si>
  <si>
    <t>e6ce06c5-1ea1-4bb5-ad4d-06f5904672e1/2f64b05b-4bce-4898-9144-92da9ecb971d</t>
  </si>
  <si>
    <t>2f64b05b-4bce-4898-9144-92da9ecb971d</t>
  </si>
  <si>
    <t>d1752386-6b89-4882-bee5-4920d58348f3/4b309ad5-b012-4c75-b78d-aafb1391904a</t>
  </si>
  <si>
    <t>4b309ad5-b012-4c75-b78d-aafb1391904a</t>
  </si>
  <si>
    <t>2058adb2-d272-444f-b1d7-71061b4ee9f9</t>
  </si>
  <si>
    <t>896c42c4-e05a-48a1-8819-368202b88202</t>
  </si>
  <si>
    <t>2058adb2-d272-444f-b1d7-71061b4ee9f9/17fd2bb1-a96f-4eab-9ecd-f7ef9c1c163a</t>
  </si>
  <si>
    <t>17fd2bb1-a96f-4eab-9ecd-f7ef9c1c163a</t>
  </si>
  <si>
    <t>896c42c4-e05a-48a1-8819-368202b88202/1a97967d-7476-4570-82a5-eb1c5801b4c1</t>
  </si>
  <si>
    <t>1a97967d-7476-4570-82a5-eb1c5801b4c1</t>
  </si>
  <si>
    <t>17fd2bb1-a96f-4eab-9ecd-f7ef9c1c163a/56debb02-01ed-4fd6-aef9-048595ba547a</t>
  </si>
  <si>
    <t>56debb02-01ed-4fd6-aef9-048595ba547a</t>
  </si>
  <si>
    <t>1a97967d-7476-4570-82a5-eb1c5801b4c1/31e40fff-ca28-4cf3-96d5-5d9b0831ce3d</t>
  </si>
  <si>
    <t>31e40fff-ca28-4cf3-96d5-5d9b0831ce3d</t>
  </si>
  <si>
    <t>56debb02-01ed-4fd6-aef9-048595ba547a/7fece2ac-ba64-41ed-ab6d-15ee058fd046</t>
  </si>
  <si>
    <t>7fece2ac-ba64-41ed-ab6d-15ee058fd046</t>
  </si>
  <si>
    <t>31e40fff-ca28-4cf3-96d5-5d9b0831ce3d/54d387d7-338a-4bbe-be45-aaea43590f3a</t>
  </si>
  <si>
    <t>54d387d7-338a-4bbe-be45-aaea43590f3a</t>
  </si>
  <si>
    <t>7fece2ac-ba64-41ed-ab6d-15ee058fd046/4bbea016-ed09-4f66-a685-2ac5d6d9f4d3</t>
  </si>
  <si>
    <t>4bbea016-ed09-4f66-a685-2ac5d6d9f4d3</t>
  </si>
  <si>
    <t>e0e15a9f-73ef-4303-9d3c-2630697a0308/54d387d7-338a-4bbe-be45-aaea43590f3a</t>
  </si>
  <si>
    <t>9478be86-d49f-47dd-b1ed-ae1dc27e6885</t>
  </si>
  <si>
    <t>65864692-f3c8-43dc-913a-38ce5afdf144</t>
  </si>
  <si>
    <t>9478be86-d49f-47dd-b1ed-ae1dc27e6885/a6b1a1ed-59dd-4b88-b47a-2bd327b26698</t>
  </si>
  <si>
    <t>a6b1a1ed-59dd-4b88-b47a-2bd327b26698</t>
  </si>
  <si>
    <t>65864692-f3c8-43dc-913a-38ce5afdf144/e0e15a9f-73ef-4303-9d3c-2630697a0308</t>
  </si>
  <si>
    <t>e0e15a9f-73ef-4303-9d3c-2630697a0308</t>
  </si>
  <si>
    <t>a6b1a1ed-59dd-4b88-b47a-2bd327b26698/4bbea016-ed09-4f66-a685-2ac5d6d9f4d3</t>
  </si>
  <si>
    <t>12167731-ba12-47f7-a470-e1cabff80b05</t>
  </si>
  <si>
    <t>4bbea016-ed09-4f66-a685-2ac5d6d9f4d3/07d9f01d-3dc7-419b-9fbe-f49f41cd2879</t>
  </si>
  <si>
    <t>07d9f01d-3dc7-419b-9fbe-f49f41cd2879</t>
  </si>
  <si>
    <t>9478be86-d49f-47dd-b1ed-ae1dc27e6885/3592a9d0-75f4-4481-a52f-34c5115722f6</t>
  </si>
  <si>
    <t>3592a9d0-75f4-4481-a52f-34c5115722f6</t>
  </si>
  <si>
    <t>65864692-f3c8-43dc-913a-38ce5afdf144/9eee61f2-d9b9-44ca-b682-879cff2d1e08</t>
  </si>
  <si>
    <t>9eee61f2-d9b9-44ca-b682-879cff2d1e08</t>
  </si>
  <si>
    <t>0937c767-1064-4bd2-9179-26fd0b460bc3</t>
  </si>
  <si>
    <t>9a3c238b-b3df-4257-a49d-588253a3b9db</t>
  </si>
  <si>
    <t>0937c767-1064-4bd2-9179-26fd0b460bc3/097c56db-e75e-4a6f-8b81-2e555a4b7176</t>
  </si>
  <si>
    <t>097c56db-e75e-4a6f-8b81-2e555a4b7176</t>
  </si>
  <si>
    <t>9a3c238b-b3df-4257-a49d-588253a3b9db/4f7f910a-d371-4c3d-9239-3672e36bb186</t>
  </si>
  <si>
    <t>4f7f910a-d371-4c3d-9239-3672e36bb186</t>
  </si>
  <si>
    <t>097c56db-e75e-4a6f-8b81-2e555a4b7176/7d185a1a-8686-4555-b164-e6f27aefe864</t>
  </si>
  <si>
    <t>7d185a1a-8686-4555-b164-e6f27aefe864</t>
  </si>
  <si>
    <t>4f7f910a-d371-4c3d-9239-3672e36bb186/3905bab0-79a8-46a2-a550-b017ecdb99c3</t>
  </si>
  <si>
    <t>3905bab0-79a8-46a2-a550-b017ecdb99c3</t>
  </si>
  <si>
    <t>7d185a1a-8686-4555-b164-e6f27aefe864/0adcf928-174e-4d6a-8ad9-5dd86b2b172a</t>
  </si>
  <si>
    <t>0adcf928-174e-4d6a-8ad9-5dd86b2b172a</t>
  </si>
  <si>
    <t>Porte d'Orléans</t>
  </si>
  <si>
    <t>e80bc4f0-68e0-4b55-bc8b-2bb010d95fa2/30994d70-c159-4c1e-839a-663a7d76feac</t>
  </si>
  <si>
    <t>2938068d-0723-4d9e-ae2e-b6ed2e4cfe1c/97fcc8ba-b9b4-42a2-968d-7f440b1074d2</t>
  </si>
  <si>
    <t>81b5c0e4-c71f-4292-a58b-81c9739aeb09/860ae6c4-f26c-4b0c-9703-f4a17454ab6d</t>
  </si>
  <si>
    <t>Cœur d'Orly / Athis-Mons - Porte de l'Essonne</t>
  </si>
  <si>
    <t>Mairie de Pierrefitte / Jacques Prévert</t>
  </si>
  <si>
    <t>Mouton - Duvernet / Porte d'Orléans</t>
  </si>
  <si>
    <t>Les Coquetiers / Les Pavillons-sous-Bois</t>
  </si>
  <si>
    <t>Bretagne / Porte de Thiais</t>
  </si>
  <si>
    <t>Saint-Denis Université / Saint-Denis - Porte de Paris</t>
  </si>
  <si>
    <t>Marché de Saint-Denis / Roger Sémat</t>
  </si>
  <si>
    <t>Les Mobiles / Delaunay-Belleville</t>
  </si>
  <si>
    <t>Moulin Vert / Auguste Perret</t>
  </si>
  <si>
    <t>Jacques Prévert / Les Cholettes</t>
  </si>
  <si>
    <t>Hélène Boucher / Cœur d'Orly</t>
  </si>
  <si>
    <t>Saint-Denis - Porte de Paris / Mairie de Saint-Ouen</t>
  </si>
  <si>
    <t>Parc André Malraux / Vauban</t>
  </si>
  <si>
    <t>Jean Vilar / Delaunay-Belleville</t>
  </si>
  <si>
    <t>Caroline Aigle / Aéroport d'Orly</t>
  </si>
  <si>
    <t>César / Blumenthal</t>
  </si>
  <si>
    <t>Inovel Parc Nord / Vélizy 2</t>
  </si>
  <si>
    <t>Soeil Levant / Parc André Malraux</t>
  </si>
  <si>
    <t>Lamartine / Moulin Vert</t>
  </si>
  <si>
    <t>Stains - La Cerisaie / Le Bourget</t>
  </si>
  <si>
    <t>Epinay-sur-Seine - Gare / Villetaneuse - Université</t>
  </si>
  <si>
    <t>Epinay - Orgemont / Gilbert Bonnemaison</t>
  </si>
  <si>
    <t>L'Abbaye / Rougemont Chanteloup</t>
  </si>
  <si>
    <t>Les Pavillons-sous-Bois / Lycée Henri Sellier</t>
  </si>
  <si>
    <t>Meudon-la-Forêt / Georges Pompidou</t>
  </si>
  <si>
    <t>Georges Millandy / Pavé Blanc</t>
  </si>
  <si>
    <t>Epinay-sur-Seine - Gare / Lacépède</t>
  </si>
  <si>
    <t>Roger Sémat / Petit Pierrefitte</t>
  </si>
  <si>
    <t>La Fraternelle / Caroline Aigle</t>
  </si>
  <si>
    <t>Mail de la Plaine / Soeil Levant</t>
  </si>
  <si>
    <t>Louvois / Dewoitine</t>
  </si>
  <si>
    <t>Alcide d'Orbigny / Butte Pinson</t>
  </si>
  <si>
    <t>Didot / Porte d'Orléans</t>
  </si>
  <si>
    <t>Pablo Neruda / César</t>
  </si>
  <si>
    <t>Petit Pierrefitte / Suzanne Valadon</t>
  </si>
  <si>
    <t>Porte de Thiais / Place de la Logistique</t>
  </si>
  <si>
    <t>Robert Schuman / Hélène Boucher</t>
  </si>
  <si>
    <t>Bondy / Les Coquetiers</t>
  </si>
  <si>
    <t>Lycée Henri Sellier / Freinville Sevran</t>
  </si>
  <si>
    <t>Gilbert Bonnemaison / Rose Bertin</t>
  </si>
  <si>
    <t>Villejuif - Louis Aragon / Domaine Chérioux</t>
  </si>
  <si>
    <t>Rose Bertin / Les Mobiles</t>
  </si>
  <si>
    <t>Butte Pinson / Les Flanades</t>
  </si>
  <si>
    <t>La Remise à Jorelle / Allée de la Tour - Rendez-vous</t>
  </si>
  <si>
    <t>Les Cholettes / Paul Valéry</t>
  </si>
  <si>
    <t>Les Béatus / Blumenthal</t>
  </si>
  <si>
    <t>Allée de la Tour - Rendez-vous / Gargan</t>
  </si>
  <si>
    <t>Paul Valéry / Garges - Sarcelles</t>
  </si>
  <si>
    <t>Robert Wagner / Mairie de Vélizy</t>
  </si>
  <si>
    <t>Mairie de Vélizy / Inovel Parc Nord</t>
  </si>
  <si>
    <t>Gargan / L'Abbaye</t>
  </si>
  <si>
    <t>Pavé Blanc / Hôpital Béclère</t>
  </si>
  <si>
    <t>Suzanne Valadon / Alcide d'Orbigny</t>
  </si>
  <si>
    <t>L'Onde / Louvois</t>
  </si>
  <si>
    <t>Vélizy 2 / Georges Millandy</t>
  </si>
  <si>
    <t>Porte d'Orléans / Cité Universitaire</t>
  </si>
  <si>
    <t>Domaine Chérioux / Bretagne</t>
  </si>
  <si>
    <t>Villetaneuse - Université / Jean Vilar</t>
  </si>
  <si>
    <t>Division Leclerc / Centre de Châtillon</t>
  </si>
  <si>
    <t>Delaunay-Belleville / Saint-Denis - Gare</t>
  </si>
  <si>
    <t>Les Flanades / Lochères</t>
  </si>
  <si>
    <t>Georges Pompidou / Mail de la Plaine</t>
  </si>
  <si>
    <t>Guynemer / Joncherolles</t>
  </si>
  <si>
    <t>Pablo Neruda / Saint-Denis - Porte de Paris</t>
  </si>
  <si>
    <t>Villetaneuse - Université / Stains - La Cerisaie</t>
  </si>
  <si>
    <t>La Belle Epine / Porte de Rungis</t>
  </si>
  <si>
    <t>Place de la Logistique / Saarinen</t>
  </si>
  <si>
    <t>Auguste Perret / La Belle Epine</t>
  </si>
  <si>
    <t>Saarinen / La Fraternelle</t>
  </si>
  <si>
    <t>Viroflay - Rive Gauche / L'Onde</t>
  </si>
  <si>
    <t>Baudelaire / Guynemer</t>
  </si>
  <si>
    <t>Lacépède / Les Béatus</t>
  </si>
  <si>
    <t>Freinville Sevran / Aulnay-sous-Bois</t>
  </si>
  <si>
    <t>Porte de Rungis / Robert Schuman</t>
  </si>
  <si>
    <t>Villetaneuse - Université / Pierre De Geyter</t>
  </si>
  <si>
    <t>Hôpital Béclère / Division Leclerc</t>
  </si>
  <si>
    <t>Pierrefitte - Stains / Dugny - La Courneuve</t>
  </si>
  <si>
    <t>Joncherolles / Mairie de Pierrefitte</t>
  </si>
  <si>
    <t>Centre de Châtillon / Châtillon - Montrouge</t>
  </si>
  <si>
    <t>Dewoitine / Meudon-la-Forêt</t>
  </si>
  <si>
    <t>Epinay - Villetaneuse / Pierrefitte - Stains</t>
  </si>
  <si>
    <t>Viroflay - Rive Droite / Robert Wagner</t>
  </si>
  <si>
    <t>d6fdebfd-2ec5-4ee9-b778-6416efbb82fd/9b857c61-12e7-47bb-859a-2198b582ab65</t>
  </si>
  <si>
    <t>1a8b84ed-371b-439e-a7b7-72c6a064d3c6/30fded01-f2d6-4674-9915-30274bcf6cf4</t>
  </si>
  <si>
    <t>b7466cd2-1062-4ef1-a8bc-c01b8a106d1f/5834a68e-5174-4c0c-bf90-e90b4c5a8bf6</t>
  </si>
  <si>
    <t>a172deef-108f-4889-b274-336bc256ac2f/8c9148fb-c777-46f1-b0d7-5b12822c0135</t>
  </si>
  <si>
    <t>b312bda1-e65c-4592-b58b-033ad4718767/9eac591b-cf2d-46f7-949c-8940732d73fe</t>
  </si>
  <si>
    <t>0a5ea39e-e669-4770-be27-651690edd9d9/e80bc4f0-68e0-4b55-bc8b-2bb010d95fa2</t>
  </si>
  <si>
    <t>a1d0c8bf-3d74-4bd4-8353-4908580d1d91/2938068d-0723-4d9e-ae2e-b6ed2e4cfe1c/97fcc8ba-b9b4-42a2-968d-7f440b1074d2</t>
  </si>
  <si>
    <t>85b044f3-3154-4295-a60f-702556a53a43/492a49ce-ad5b-4576-8d24-fa21d1814f0c</t>
  </si>
  <si>
    <t>61c65477-c6d8-4918-9f11-286bf3638bd1/f8add28c-dc46-446f-a161-03ab816a27bf</t>
  </si>
  <si>
    <t>07372633-832e-4c75-902b-975bae2c2dd2/30005419-968c-4c53-bcb7-ccc399697aff</t>
  </si>
  <si>
    <t>31d6de51-e073-48f9-a9c5-59ad322019ff/188b043b-c482-4602-8c37-190533196ef7</t>
  </si>
  <si>
    <t>b010b770-f802-4990-98c1-884401bee0e8/e9f7570a-3665-4b23-a23c-a42135a58f3a</t>
  </si>
  <si>
    <t>a809871f-e266-43c2-baf3-133b134805f3/d5f9b87c-2cb3-45ba-9ff6-8b6df61267bc</t>
  </si>
  <si>
    <t>a036f675-ab4d-4096-bfa2-de5c78d9e4f7/d213d242-d52e-4f37-85da-1df1fb4fe539</t>
  </si>
  <si>
    <t>cc967a54-83e5-40af-9c61-012b9ea9906a/81b5c0e4-c71f-4292-a58b-81c9739aeb09/860ae6c4-f26c-4b0c-9703-f4a17454ab6d</t>
  </si>
  <si>
    <t>b19203ad-f4b6-42fd-84fb-f26468121b72/d5a91b3d-8b2c-4739-8132-2942942bcd91</t>
  </si>
  <si>
    <t>e239d124-0875-4832-a242-a5584a957bd2/684ad633-17df-4bfd-b7ea-658b903dcb50</t>
  </si>
  <si>
    <t>ed9de319-e425-4801-b53a-8e42740e5f4b/2f7ffcbd-6ec8-47c7-951c-6e03298a828c/4209adc4-6469-4f80-b037-7392d12ec860</t>
  </si>
  <si>
    <t>98f2d262-eeea-4515-808a-db431fa208bc/8aa4fc6f-f1e9-4c9d-b9f0-9e19adacb345</t>
  </si>
  <si>
    <t>1bf4d462-672a-4ac5-a6ad-6bada09d7286/749ffee9-fd63-45a7-8b93-72cfde50ef4b</t>
  </si>
  <si>
    <t>60e334fd-e399-48b3-a2da-d95306aa6bde/e15406eb-c4ce-4508-9b85-462d841ce16d</t>
  </si>
  <si>
    <t>29203577-26e0-4c0f-8968-e590c17c8c56/eebafe7f-38f3-4eff-834b-5bf227c3a249</t>
  </si>
  <si>
    <t>f45eccca-20a6-4114-859f-93224afd9f73/c745997a-4e24-4c94-924b-1409c54ad40c</t>
  </si>
  <si>
    <t>7e5a1dd4-9b90-4989-b44a-6b35f8a13f14/d96dc1f7-5bef-4926-91f7-39bc7bf413e9</t>
  </si>
  <si>
    <t>57094566-b93a-457e-b065-5a0ecb8604d6/09920331-27e6-4431-9f00-aa2cef953f19</t>
  </si>
  <si>
    <t>e557ae69-850b-4ae3-8c64-c88fa35d3617/13d01e4f-9c0c-48f4-89a0-e5cea1c492a7</t>
  </si>
  <si>
    <t>d19b565d-ff83-4e07-aa16-232d25b57d64/1af953a2-e746-4a0b-bd54-4408a3c969d0</t>
  </si>
  <si>
    <t>c70516f4-ea24-4cd6-8270-293358f1350b/2530624b-ad0d-417f-a67b-6e458619403a</t>
  </si>
  <si>
    <t>4a366cfc-2fa9-4037-abcf-16257979b2be/07d9f01d-3dc7-419b-9fbe-f49f41cd2879</t>
  </si>
  <si>
    <t>0b2dac6d-bb06-407a-815d-5b8b3d54e846/9eee61f2-d9b9-44ca-b682-879cff2d1e08</t>
  </si>
  <si>
    <t>896c42c4-e05a-48a1-8819-368202b88202/0937c767-1064-4bd2-9179-26fd0b460bc3</t>
  </si>
  <si>
    <t>9478be86-d49f-47dd-b1ed-ae1dc27e6885/097c56db-e75e-4a6f-8b81-2e555a4b7176</t>
  </si>
  <si>
    <t>COLOR</t>
  </si>
  <si>
    <t>#FFCD00</t>
  </si>
  <si>
    <t>#003CA6</t>
  </si>
  <si>
    <t>#B6BD00</t>
  </si>
  <si>
    <t>#E2231A</t>
  </si>
  <si>
    <t>#62259D</t>
  </si>
  <si>
    <t>#E19BDF</t>
  </si>
  <si>
    <t>#704B1C</t>
  </si>
  <si>
    <t>#6ECA97</t>
  </si>
  <si>
    <t>#C9910D</t>
  </si>
  <si>
    <t>#837902</t>
  </si>
  <si>
    <t>#FF7E2E</t>
  </si>
  <si>
    <t>#CF009E</t>
  </si>
  <si>
    <t>#6EC4E8</t>
  </si>
  <si>
    <t>#00AE41</t>
  </si>
  <si>
    <t>#007852</t>
  </si>
  <si>
    <t>#FA9ABA</t>
  </si>
  <si>
    <t>#FED100</t>
  </si>
  <si>
    <t>#E65E37</t>
  </si>
  <si>
    <t>CHANGE_SAME_DURATION</t>
  </si>
  <si>
    <t>CHANGE_DIFF_DURATION</t>
  </si>
  <si>
    <t>DURATION_CHANGE_SAME</t>
  </si>
  <si>
    <t>DURATION_CHANGE_DIFF</t>
  </si>
  <si>
    <t>DIRECT_LINK_DURATION</t>
  </si>
  <si>
    <t>RERA</t>
  </si>
  <si>
    <t>Cergy - Le Haut</t>
  </si>
  <si>
    <t>Cergy - Saint-Christophe</t>
  </si>
  <si>
    <t>Cergy - Préfecture</t>
  </si>
  <si>
    <t>Neuville - Université</t>
  </si>
  <si>
    <t>Conflans - Fin d'Oise</t>
  </si>
  <si>
    <t>Achères - Ville</t>
  </si>
  <si>
    <t>ebd7f1d3-0c51-42ae-b771-58e8e8f62122</t>
  </si>
  <si>
    <t>19b86470-b348-4c5b-8d7a-f28335cd60da</t>
  </si>
  <si>
    <t>94370a66-71b2-4016-81f1-0061f6c3c947</t>
  </si>
  <si>
    <t>b1ba8cad-d50d-45ef-84b1-eced1843a3fa</t>
  </si>
  <si>
    <t>9f30a958-a99c-476a-bae1-4af8c573a3c6</t>
  </si>
  <si>
    <t>e2fbd799-5934-4f51-9292-e3a8f881d11d</t>
  </si>
  <si>
    <t>f8ad0f24-ca77-49a6-9458-ee450715bcc3</t>
  </si>
  <si>
    <t>cdea3321-ab6a-435d-bf02-c462bda3b641</t>
  </si>
  <si>
    <t>359026e8-eed7-467b-b2f3-ec304fa66e6a</t>
  </si>
  <si>
    <t>87ae680e-cbb7-4678-87fd-1ffc70c78c85</t>
  </si>
  <si>
    <t>f86292b0-ac4c-420f-909a-3279c1c9df05</t>
  </si>
  <si>
    <t>57f8cd2b-ca12-4671-acb2-72031835116a</t>
  </si>
  <si>
    <t>8e85877c-e792-4e4e-8b84-702620e138cf</t>
  </si>
  <si>
    <t>72e00e05-1b5c-484a-bf5f-79652b8cfd29</t>
  </si>
  <si>
    <t>089414b4-fb0c-4c70-9605-1af506e27b09</t>
  </si>
  <si>
    <t>c484337c-351b-45af-ae02-69ccbcb68212</t>
  </si>
  <si>
    <t>e076e4ee-7b86-45bd-aa93-032cd1445a89</t>
  </si>
  <si>
    <t>c7adb0d0-4ac2-4a89-8d70-f3161be846af</t>
  </si>
  <si>
    <t>0c08b6de-a771-4ee0-a768-ed5815df333b</t>
  </si>
  <si>
    <t>68bf74b6-cf91-47ca-87f7-ccc6cbec9ef9</t>
  </si>
  <si>
    <t>e17ca701-8954-424e-b6e6-f9cbce37ca91</t>
  </si>
  <si>
    <t>91680d37-8e5c-4a01-ab95-85bd067a797b</t>
  </si>
  <si>
    <t>88b874bd-ab62-4b7a-bd51-73e100a39e72</t>
  </si>
  <si>
    <t>9dd92da4-21bc-4cf3-9abf-724a2481f1f1</t>
  </si>
  <si>
    <t>fd511a28-80ea-4d12-973e-b1757195b278</t>
  </si>
  <si>
    <t>9a33c80c-7760-4dba-9474-8e384be04d51</t>
  </si>
  <si>
    <t>bd024e1c-efaa-409b-a8a3-4673962739b7</t>
  </si>
  <si>
    <t>f836f28a-efa0-4003-8e0d-7ed9207b21ca</t>
  </si>
  <si>
    <t>f1c5cba4-07ca-46ca-a772-c0bd7415379f</t>
  </si>
  <si>
    <t>Poissy</t>
  </si>
  <si>
    <t>Achères - Grand Cormier</t>
  </si>
  <si>
    <t>Maisons-Laffitte</t>
  </si>
  <si>
    <t>Sartrouville</t>
  </si>
  <si>
    <t>Houilles - Carrières-sur-Seine</t>
  </si>
  <si>
    <t>Saint-Germain-en-Laye</t>
  </si>
  <si>
    <t>Le Vésinet - Le Pecq</t>
  </si>
  <si>
    <t>Le Vésinet - Centre</t>
  </si>
  <si>
    <t>Chatou - Croissy</t>
  </si>
  <si>
    <t>Rueil-Malmaison</t>
  </si>
  <si>
    <t>Nanterre - Ville</t>
  </si>
  <si>
    <t>Nanterre - Université</t>
  </si>
  <si>
    <t>Nanterre - Préfecture</t>
  </si>
  <si>
    <t>Auber</t>
  </si>
  <si>
    <t>Châtelet - Les Halles</t>
  </si>
  <si>
    <t>Vincennes</t>
  </si>
  <si>
    <t>Val de Fontenay</t>
  </si>
  <si>
    <t>Neuilly-Plaisance</t>
  </si>
  <si>
    <t>Bry-sur-Marne</t>
  </si>
  <si>
    <t>Noisy-le-Grand - Mont d'Est</t>
  </si>
  <si>
    <t>Noisy - Champs</t>
  </si>
  <si>
    <t>Noisiel</t>
  </si>
  <si>
    <t>Lognes</t>
  </si>
  <si>
    <t>Torcy</t>
  </si>
  <si>
    <t>Bussy-Saint-Georges</t>
  </si>
  <si>
    <t>Val d'Europe</t>
  </si>
  <si>
    <t>Marne-la-Vallée - Chessy</t>
  </si>
  <si>
    <t>Fontenay-sous-Bois</t>
  </si>
  <si>
    <t>Nogent-sur-Marne</t>
  </si>
  <si>
    <t>Joinville-le-Pont</t>
  </si>
  <si>
    <t>Saint-Maur - Créteil</t>
  </si>
  <si>
    <t>Le Parc de Saint-Maur</t>
  </si>
  <si>
    <t>Champigny</t>
  </si>
  <si>
    <t>La Varenne - Chennevières</t>
  </si>
  <si>
    <t>Sucy - Bonneuil</t>
  </si>
  <si>
    <t>Boissy-Saint-Léger</t>
  </si>
  <si>
    <t>ebd7f1d3-0c51-42ae-b771-58e8e8f62122/94370a66-71b2-4016-81f1-0061f6c3c947</t>
  </si>
  <si>
    <t>19b86470-b348-4c5b-8d7a-f28335cd60da/b1ba8cad-d50d-45ef-84b1-eced1843a3fa</t>
  </si>
  <si>
    <t>94370a66-71b2-4016-81f1-0061f6c3c947/9f30a958-a99c-476a-bae1-4af8c573a3c6</t>
  </si>
  <si>
    <t>b1ba8cad-d50d-45ef-84b1-eced1843a3fa/e2fbd799-5934-4f51-9292-e3a8f881d11d</t>
  </si>
  <si>
    <t>9f30a958-a99c-476a-bae1-4af8c573a3c6/359026e8-eed7-467b-b2f3-ec304fa66e6a</t>
  </si>
  <si>
    <t>f8ad0f24-ca77-49a6-9458-ee450715bcc3/359026e8-eed7-467b-b2f3-ec304fa66e6a</t>
  </si>
  <si>
    <t>cdea3321-ab6a-435d-bf02-c462bda3b641/e2fbd799-5934-4f51-9292-e3a8f881d11d/87ae680e-cbb7-4678-87fd-1ffc70c78c85</t>
  </si>
  <si>
    <t>359026e8-eed7-467b-b2f3-ec304fa66e6a/f86292b0-ac4c-420f-909a-3279c1c9df05</t>
  </si>
  <si>
    <t>87ae680e-cbb7-4678-87fd-1ffc70c78c85/0c08b6de-a771-4ee0-a768-ed5815df333b</t>
  </si>
  <si>
    <t>57f8cd2b-ca12-4671-acb2-72031835116a/72e00e05-1b5c-484a-bf5f-79652b8cfd29</t>
  </si>
  <si>
    <t>8e85877c-e792-4e4e-8b84-702620e138cf/089414b4-fb0c-4c70-9605-1af506e27b09</t>
  </si>
  <si>
    <t>72e00e05-1b5c-484a-bf5f-79652b8cfd29/c484337c-351b-45af-ae02-69ccbcb68212</t>
  </si>
  <si>
    <t>089414b4-fb0c-4c70-9605-1af506e27b09/e076e4ee-7b86-45bd-aa93-032cd1445a89</t>
  </si>
  <si>
    <t>c484337c-351b-45af-ae02-69ccbcb68212/c7adb0d0-4ac2-4a89-8d70-f3161be846af</t>
  </si>
  <si>
    <t>e076e4ee-7b86-45bd-aa93-032cd1445a89/0c08b6de-a771-4ee0-a768-ed5815df333b</t>
  </si>
  <si>
    <t>68bf74b6-cf91-47ca-87f7-ccc6cbec9ef9/c7adb0d0-4ac2-4a89-8d70-f3161be846af/f86292b0-ac4c-420f-909a-3279c1c9df05</t>
  </si>
  <si>
    <t>0c08b6de-a771-4ee0-a768-ed5815df333b/e17ca701-8954-424e-b6e6-f9cbce37ca91</t>
  </si>
  <si>
    <t>68bf74b6-cf91-47ca-87f7-ccc6cbec9ef9/91680d37-8e5c-4a01-ab95-85bd067a797b</t>
  </si>
  <si>
    <t>e17ca701-8954-424e-b6e6-f9cbce37ca91/88b874bd-ab62-4b7a-bd51-73e100a39e72</t>
  </si>
  <si>
    <t>91680d37-8e5c-4a01-ab95-85bd067a797b/9dd92da4-21bc-4cf3-9abf-724a2481f1f1</t>
  </si>
  <si>
    <t>88b874bd-ab62-4b7a-bd51-73e100a39e72/fd511a28-80ea-4d12-973e-b1757195b278</t>
  </si>
  <si>
    <t>9dd92da4-21bc-4cf3-9abf-724a2481f1f1/9a33c80c-7760-4dba-9474-8e384be04d51</t>
  </si>
  <si>
    <t>9a33c80c-7760-4dba-9474-8e384be04d51/f836f28a-efa0-4003-8e0d-7ed9207b21ca</t>
  </si>
  <si>
    <t>bd024e1c-efaa-409b-a8a3-4673962739b7/f1c5cba4-07ca-46ca-a772-c0bd7415379f</t>
  </si>
  <si>
    <t>fd511a28-80ea-4d12-973e-b1757195b278/bd024e1c-efaa-409b-a8a3-4673962739b7/61545677-0e81-4a86-99e2-811968fe3d94</t>
  </si>
  <si>
    <t>f836f28a-efa0-4003-8e0d-7ed9207b21ca/68e04f13-dbf7-46b2-9e85-2e65e5ae2416</t>
  </si>
  <si>
    <t>68e04f13-dbf7-46b2-9e85-2e65e5ae2416</t>
  </si>
  <si>
    <t>f1c5cba4-07ca-46ca-a772-c0bd7415379f/9f98631c-b81b-4c3f-b279-259a5a1ee70e</t>
  </si>
  <si>
    <t>9f98631c-b81b-4c3f-b279-259a5a1ee70e</t>
  </si>
  <si>
    <t>68e04f13-dbf7-46b2-9e85-2e65e5ae2416/74b561e6-bb5b-4c2a-bcae-121af2e168d1</t>
  </si>
  <si>
    <t>74b561e6-bb5b-4c2a-bcae-121af2e168d1</t>
  </si>
  <si>
    <t>9f98631c-b81b-4c3f-b279-259a5a1ee70e/814646ef-7372-4c92-84ef-3b0dff49636c</t>
  </si>
  <si>
    <t>814646ef-7372-4c92-84ef-3b0dff49636c</t>
  </si>
  <si>
    <t>74b561e6-bb5b-4c2a-bcae-121af2e168d1/051a4092-7ea7-42cd-ac05-11ad57445c71</t>
  </si>
  <si>
    <t>051a4092-7ea7-42cd-ac05-11ad57445c71</t>
  </si>
  <si>
    <t>814646ef-7372-4c92-84ef-3b0dff49636c/95cea1a5-d1d2-443c-9b10-de5987e9bfc0</t>
  </si>
  <si>
    <t>95cea1a5-d1d2-443c-9b10-de5987e9bfc0</t>
  </si>
  <si>
    <t>051a4092-7ea7-42cd-ac05-11ad57445c71/d8526492-8d44-4d05-97e1-f5db95064b95</t>
  </si>
  <si>
    <t>d8526492-8d44-4d05-97e1-f5db95064b95</t>
  </si>
  <si>
    <t>95cea1a5-d1d2-443c-9b10-de5987e9bfc0/fc1d6c51-72fa-4b09-b63f-a16828979bfa</t>
  </si>
  <si>
    <t>fc1d6c51-72fa-4b09-b63f-a16828979bfa</t>
  </si>
  <si>
    <t>61545677-0e81-4a86-99e2-811968fe3d94</t>
  </si>
  <si>
    <t>9a33c80c-7760-4dba-9474-8e384be04d51/48bb3415-5b3d-47e6-a979-a2992a3cde6c</t>
  </si>
  <si>
    <t>48bb3415-5b3d-47e6-a979-a2992a3cde6c</t>
  </si>
  <si>
    <t>61545677-0e81-4a86-99e2-811968fe3d94/c1faa51d-8402-45fb-94a2-be012b135077</t>
  </si>
  <si>
    <t>c1faa51d-8402-45fb-94a2-be012b135077</t>
  </si>
  <si>
    <t>48bb3415-5b3d-47e6-a979-a2992a3cde6c/365aaef1-a99e-4ad7-9edc-4d5ad3f981a2</t>
  </si>
  <si>
    <t>365aaef1-a99e-4ad7-9edc-4d5ad3f981a2</t>
  </si>
  <si>
    <t>c1faa51d-8402-45fb-94a2-be012b135077/fd755028-7cc9-4f76-b933-73c57e729010</t>
  </si>
  <si>
    <t>fd755028-7cc9-4f76-b933-73c57e729010</t>
  </si>
  <si>
    <t>365aaef1-a99e-4ad7-9edc-4d5ad3f981a2/e4aa935d-da9c-4048-ac1f-8674ce6ace68</t>
  </si>
  <si>
    <t>e4aa935d-da9c-4048-ac1f-8674ce6ace68</t>
  </si>
  <si>
    <t>fd755028-7cc9-4f76-b933-73c57e729010/9b170c5f-5d64-420d-b8a9-372670d25964</t>
  </si>
  <si>
    <t>9b170c5f-5d64-420d-b8a9-372670d25964</t>
  </si>
  <si>
    <t>e4aa935d-da9c-4048-ac1f-8674ce6ace68/72b71daa-1ce1-41d1-a333-95b9c7180789</t>
  </si>
  <si>
    <t>72b71daa-1ce1-41d1-a333-95b9c7180789</t>
  </si>
  <si>
    <t>9b170c5f-5d64-420d-b8a9-372670d25964/6bea61dc-0e9d-4535-873d-fb1fd28a2fd0</t>
  </si>
  <si>
    <t>6bea61dc-0e9d-4535-873d-fb1fd28a2fd0</t>
  </si>
  <si>
    <t>#7BA3DC</t>
  </si>
  <si>
    <t>#E37ED1</t>
  </si>
  <si>
    <t>RERB</t>
  </si>
  <si>
    <t>RERC</t>
  </si>
  <si>
    <t>RERD</t>
  </si>
  <si>
    <t>RERE</t>
  </si>
  <si>
    <t>9eac591b-cf2d-46f7-949c-8940732d73fe;68bf74b6-cf91-47ca-87f7-ccc6cbec9ef9</t>
  </si>
  <si>
    <t>b312bda1-e65c-4592-b58b-033ad4718767;68bf74b6-cf91-47ca-87f7-ccc6cbec9ef9</t>
  </si>
  <si>
    <t>859e65b5-cd9d-4a80-aba7-5c0f3d701401</t>
  </si>
  <si>
    <t>c8751f1f-c610-4194-a217-981d66c1eeee</t>
  </si>
  <si>
    <t>54440e0f-7573-4c08-8eab-8b6585f1cc7e</t>
  </si>
  <si>
    <t>4fe3ec90-e666-4ae7-a54d-ff128ac4bef2</t>
  </si>
  <si>
    <t>9099f5db-d217-48b8-922b-38f0dce52b21</t>
  </si>
  <si>
    <t>83406596-983c-4f39-ab06-f367a4c2303a</t>
  </si>
  <si>
    <t>35c05628-147b-4c5a-b1cc-bd7368d2346a</t>
  </si>
  <si>
    <t>a6ce4ab8-1bc6-434b-ab61-bb96e023c230</t>
  </si>
  <si>
    <t>5f43629b-1456-48b7-955e-6658730857cc</t>
  </si>
  <si>
    <t>cde3e453-454e-4efa-8d43-936c98de44d9</t>
  </si>
  <si>
    <t>e04688a5-7890-4c87-8f8e-03756c795e71</t>
  </si>
  <si>
    <t>86da2591-82da-4317-84e3-ebcde14cdc72</t>
  </si>
  <si>
    <t>ccda5a87-71cb-45d7-b5eb-3e31c2617fca</t>
  </si>
  <si>
    <t>ce385ea0-5cb5-49e8-8a13-74a52dccabbe</t>
  </si>
  <si>
    <t>2b829f31-9d2d-43fc-b611-7f53798f88fd</t>
  </si>
  <si>
    <t>0cf2ea39-c9ba-4cd9-8d37-bb8c1f4b689b</t>
  </si>
  <si>
    <t>b47fc196-8ca8-427b-90e5-e0e57af864b6</t>
  </si>
  <si>
    <t>86f4a214-54e6-450e-9173-6dd5451485a8</t>
  </si>
  <si>
    <t>ea2164ed-5e68-4282-9e12-1ba10ab63a7b</t>
  </si>
  <si>
    <t>5a53a086-9e23-48bf-98ad-8101d73f6ac5</t>
  </si>
  <si>
    <t>79086800-e2c6-4556-8f5d-c8162230c6e6</t>
  </si>
  <si>
    <t>c057d62b-f6d3-477c-b6ef-915eeb1431c0</t>
  </si>
  <si>
    <t>f8096c52-fe64-4030-bd05-afab45c9b487</t>
  </si>
  <si>
    <t>e5af214e-22b7-4af9-8733-6e10c8d4143f</t>
  </si>
  <si>
    <t>36f85d0f-4b55-4878-8029-ded09a1c215d</t>
  </si>
  <si>
    <t>1cb995f4-61c1-4159-9791-fc4a2b445b68</t>
  </si>
  <si>
    <t>5945bf88-8fa6-4d5d-8929-f47942963db4</t>
  </si>
  <si>
    <t>6905d887-ccde-4f94-85a2-32ad76c292db</t>
  </si>
  <si>
    <t>ea0827ae-d410-473e-b987-19bc76301803</t>
  </si>
  <si>
    <t>92b0b5b7-a0b5-475f-8e19-f78ff69dc771</t>
  </si>
  <si>
    <t>56194819-c2ee-49c0-a85d-f4b1bdb97e1e</t>
  </si>
  <si>
    <t>e7bc76cb-8538-4136-b8a4-4c80d306e4a7</t>
  </si>
  <si>
    <t>d2b94347-5083-47b7-a85a-03867a216b70</t>
  </si>
  <si>
    <t>7af32fc7-0a9f-4629-b22d-a18612a71d80</t>
  </si>
  <si>
    <t>4468e20c-507b-4dc5-98c6-0758743ddadd</t>
  </si>
  <si>
    <t>b71b718c-ef81-4d71-9a1c-15608fbd143a</t>
  </si>
  <si>
    <t>f62eb415-6cb4-41cc-a317-acc9cdcd5277</t>
  </si>
  <si>
    <t>ef7fe274-96dc-4797-91e8-fd9fb0e04b17</t>
  </si>
  <si>
    <t>29cad501-f1a8-4540-aee6-66f199aeb67b</t>
  </si>
  <si>
    <t>44ae71da-6038-4a86-91ce-9b94216cccca</t>
  </si>
  <si>
    <t>6e16350f-0382-41da-9d32-e1a5c06e3a1b</t>
  </si>
  <si>
    <t>ad09ed89-8f3f-4c77-af1c-ec49a4fe5917</t>
  </si>
  <si>
    <t>56d72038-f397-4001-bcd7-12211aec3156</t>
  </si>
  <si>
    <t>c82805fb-9db2-4902-bee1-cca618b94c24</t>
  </si>
  <si>
    <t>60d3bf2d-b254-4138-a8f3-dae770bce36d</t>
  </si>
  <si>
    <t>92482257-2cbb-4284-a17a-c10beac69498</t>
  </si>
  <si>
    <t>edc0cd0c-bcff-445f-a5e7-21c239211837</t>
  </si>
  <si>
    <t>Aéroport Charles de Gaulle 2 TGV</t>
  </si>
  <si>
    <t>Aéroport Charles de Gaulle 1</t>
  </si>
  <si>
    <t>Parc des expositions</t>
  </si>
  <si>
    <t>Villepinte</t>
  </si>
  <si>
    <t>Sevran - Beaudottes</t>
  </si>
  <si>
    <t>Mitry-Claye</t>
  </si>
  <si>
    <t>Villeparisis - Mitry-le-Neuf</t>
  </si>
  <si>
    <t>Vert-Galant</t>
  </si>
  <si>
    <t>Sevran - Livry</t>
  </si>
  <si>
    <t>Le Blanc-Mesnil</t>
  </si>
  <si>
    <t>La Courneuve - Aubervilliers</t>
  </si>
  <si>
    <t>La Plaine - Stade de France</t>
  </si>
  <si>
    <t>Saint-Michel - Notre Dame</t>
  </si>
  <si>
    <t>Luxembourg</t>
  </si>
  <si>
    <t>Port-Royal</t>
  </si>
  <si>
    <t>Gentilly</t>
  </si>
  <si>
    <t>Laplace</t>
  </si>
  <si>
    <t>Arcueil - Cachan</t>
  </si>
  <si>
    <t>Bagneux</t>
  </si>
  <si>
    <t>Bourg-la-Reine</t>
  </si>
  <si>
    <t>Sceaux</t>
  </si>
  <si>
    <t>Fontenay-aux-Roses</t>
  </si>
  <si>
    <t>Robinson</t>
  </si>
  <si>
    <t>Parc de Sceaux</t>
  </si>
  <si>
    <t>La Croix de Berny</t>
  </si>
  <si>
    <t>Antony</t>
  </si>
  <si>
    <t>Fontaine-Michalon</t>
  </si>
  <si>
    <t>Les Baconnets</t>
  </si>
  <si>
    <t>Massy - Verrières</t>
  </si>
  <si>
    <t>Palaiseau</t>
  </si>
  <si>
    <t>Palaiseau - Villebon</t>
  </si>
  <si>
    <t>Lozère</t>
  </si>
  <si>
    <t>Le Guichet</t>
  </si>
  <si>
    <t>Orsay - Ville</t>
  </si>
  <si>
    <t>Bures-sur-Yvette</t>
  </si>
  <si>
    <t>La Hacquinière</t>
  </si>
  <si>
    <t>Gif-sur-Yvette</t>
  </si>
  <si>
    <t>Courcelle-sur-Yvette</t>
  </si>
  <si>
    <t>Saint-Rémy-les-Chevreuse</t>
  </si>
  <si>
    <t>Massy - Palaiseau</t>
  </si>
  <si>
    <t>88b874bd-ab62-4b7a-bd51-73e100a39e72/b47fc196-8ca8-427b-90e5-e0e57af864b6</t>
  </si>
  <si>
    <t>859e65b5-cd9d-4a80-aba7-5c0f3d701401/54440e0f-7573-4c08-8eab-8b6585f1cc7e</t>
  </si>
  <si>
    <t>c8751f1f-c610-4194-a217-981d66c1eeee/4fe3ec90-e666-4ae7-a54d-ff128ac4bef2</t>
  </si>
  <si>
    <t>54440e0f-7573-4c08-8eab-8b6585f1cc7e/9099f5db-d217-48b8-922b-38f0dce52b21</t>
  </si>
  <si>
    <t>4fe3ec90-e666-4ae7-a54d-ff128ac4bef2/cde3e453-454e-4efa-8d43-936c98de44d9</t>
  </si>
  <si>
    <t>83406596-983c-4f39-ab06-f367a4c2303a/a6ce4ab8-1bc6-434b-ab61-bb96e023c230</t>
  </si>
  <si>
    <t>35c05628-147b-4c5a-b1cc-bd7368d2346a/5f43629b-1456-48b7-955e-6658730857cc</t>
  </si>
  <si>
    <t>a6ce4ab8-1bc6-434b-ab61-bb96e023c230/cde3e453-454e-4efa-8d43-936c98de44d9</t>
  </si>
  <si>
    <t>5f43629b-1456-48b7-955e-6658730857cc/e04688a5-7890-4c87-8f8e-03756c795e71</t>
  </si>
  <si>
    <t>cde3e453-454e-4efa-8d43-936c98de44d9/86da2591-82da-4317-84e3-ebcde14cdc72</t>
  </si>
  <si>
    <t>e04688a5-7890-4c87-8f8e-03756c795e71/ccda5a87-71cb-45d7-b5eb-3e31c2617fca</t>
  </si>
  <si>
    <t>86da2591-82da-4317-84e3-ebcde14cdc72/ce385ea0-5cb5-49e8-8a13-74a52dccabbe</t>
  </si>
  <si>
    <t>ccda5a87-71cb-45d7-b5eb-3e31c2617fca/2b829f31-9d2d-43fc-b611-7f53798f88fd</t>
  </si>
  <si>
    <t>ce385ea0-5cb5-49e8-8a13-74a52dccabbe/0cf2ea39-c9ba-4cd9-8d37-bb8c1f4b689b</t>
  </si>
  <si>
    <t>2b829f31-9d2d-43fc-b611-7f53798f88fd/b47fc196-8ca8-427b-90e5-e0e57af864b6</t>
  </si>
  <si>
    <t>0cf2ea39-c9ba-4cd9-8d37-bb8c1f4b689b/86f4a214-54e6-450e-9173-6dd5451485a8</t>
  </si>
  <si>
    <t>b47fc196-8ca8-427b-90e5-e0e57af864b6/ea2164ed-5e68-4282-9e12-1ba10ab63a7b</t>
  </si>
  <si>
    <t>86f4a214-54e6-450e-9173-6dd5451485a8/5a53a086-9e23-48bf-98ad-8101d73f6ac5</t>
  </si>
  <si>
    <t>ea2164ed-5e68-4282-9e12-1ba10ab63a7b/79086800-e2c6-4556-8f5d-c8162230c6e6</t>
  </si>
  <si>
    <t>5a53a086-9e23-48bf-98ad-8101d73f6ac5/c057d62b-f6d3-477c-b6ef-915eeb1431c0</t>
  </si>
  <si>
    <t>79086800-e2c6-4556-8f5d-c8162230c6e6/f8096c52-fe64-4030-bd05-afab45c9b487</t>
  </si>
  <si>
    <t>c057d62b-f6d3-477c-b6ef-915eeb1431c0/e5af214e-22b7-4af9-8733-6e10c8d4143f</t>
  </si>
  <si>
    <t>f8096c52-fe64-4030-bd05-afab45c9b487/36f85d0f-4b55-4878-8029-ded09a1c215d</t>
  </si>
  <si>
    <t>e5af214e-22b7-4af9-8733-6e10c8d4143f/1cb995f4-61c1-4159-9791-fc4a2b445b68</t>
  </si>
  <si>
    <t>36f85d0f-4b55-4878-8029-ded09a1c215d/5945bf88-8fa6-4d5d-8929-f47942963db4</t>
  </si>
  <si>
    <t>1cb995f4-61c1-4159-9791-fc4a2b445b68/6905d887-ccde-4f94-85a2-32ad76c292db/56194819-c2ee-49c0-a85d-f4b1bdb97e1e</t>
  </si>
  <si>
    <t>5945bf88-8fa6-4d5d-8929-f47942963db4/ea0827ae-d410-473e-b987-19bc76301803</t>
  </si>
  <si>
    <t>6905d887-ccde-4f94-85a2-32ad76c292db/92b0b5b7-a0b5-475f-8e19-f78ff69dc771</t>
  </si>
  <si>
    <t>5945bf88-8fa6-4d5d-8929-f47942963db4/e7bc76cb-8538-4136-b8a4-4c80d306e4a7</t>
  </si>
  <si>
    <t>6905d887-ccde-4f94-85a2-32ad76c292db/d2b94347-5083-47b7-a85a-03867a216b70</t>
  </si>
  <si>
    <t>ea0827ae-d410-473e-b987-19bc76301803/7af32fc7-0a9f-4629-b22d-a18612a71d80</t>
  </si>
  <si>
    <t>92b0b5b7-a0b5-475f-8e19-f78ff69dc771/4468e20c-507b-4dc5-98c6-0758743ddadd</t>
  </si>
  <si>
    <t>56194819-c2ee-49c0-a85d-f4b1bdb97e1e/b71b718c-ef81-4d71-9a1c-15608fbd143a</t>
  </si>
  <si>
    <t>e7bc76cb-8538-4136-b8a4-4c80d306e4a7/f62eb415-6cb4-41cc-a317-acc9cdcd5277</t>
  </si>
  <si>
    <t>d2b94347-5083-47b7-a85a-03867a216b70/ef7fe274-96dc-4797-91e8-fd9fb0e04b17</t>
  </si>
  <si>
    <t>7af32fc7-0a9f-4629-b22d-a18612a71d80/29cad501-f1a8-4540-aee6-66f199aeb67b</t>
  </si>
  <si>
    <t>4468e20c-507b-4dc5-98c6-0758743ddadd/44ae71da-6038-4a86-91ce-9b94216cccca</t>
  </si>
  <si>
    <t>b71b718c-ef81-4d71-9a1c-15608fbd143a/6e16350f-0382-41da-9d32-e1a5c06e3a1b</t>
  </si>
  <si>
    <t>f62eb415-6cb4-41cc-a317-acc9cdcd5277/ad09ed89-8f3f-4c77-af1c-ec49a4fe5917</t>
  </si>
  <si>
    <t>ef7fe274-96dc-4797-91e8-fd9fb0e04b17/56d72038-f397-4001-bcd7-12211aec3156</t>
  </si>
  <si>
    <t>29cad501-f1a8-4540-aee6-66f199aeb67b/c82805fb-9db2-4902-bee1-cca618b94c24</t>
  </si>
  <si>
    <t>44ae71da-6038-4a86-91ce-9b94216cccca/60d3bf2d-b254-4138-a8f3-dae770bce36d</t>
  </si>
  <si>
    <t>6e16350f-0382-41da-9d32-e1a5c06e3a1b/92482257-2cbb-4284-a17a-c10beac69498</t>
  </si>
  <si>
    <t>ad09ed89-8f3f-4c77-af1c-ec49a4fe5917/edc0cd0c-bcff-445f-a5e7-21c239211837</t>
  </si>
  <si>
    <t>a7a96d0e-de76-41c3-bc38-88d12b04ed1d/ba871a49-ba2a-4ef0-bcba-86559c28d894</t>
  </si>
  <si>
    <t>26320586-e7af-4abf-bd3a-bd8383359193/a7a96d0e-de76-41c3-bc38-88d12b04ed1d</t>
  </si>
  <si>
    <t>a7a96d0e-de76-41c3-bc38-88d12b04ed1d/26320586-e7af-4abf-bd3a-bd8383359193/ba871a49-ba2a-4ef0-bcba-86559c28d894</t>
  </si>
  <si>
    <t>3def76a3-c0d3-4d2b-999f-c28d4adb2e8f/eb1fb494-48a4-4252-baab-0a5ebc29b41a</t>
  </si>
  <si>
    <t>Gare du Nord / Gare du Nord</t>
  </si>
  <si>
    <t>La Chapelle / Gare du Nord</t>
  </si>
  <si>
    <t>Gare du Nord / La Chapelle</t>
  </si>
  <si>
    <t>Cergy - Le Haut / Cergy - Préfecture</t>
  </si>
  <si>
    <t>Cergy - Saint-Christophe / Neuville - Université</t>
  </si>
  <si>
    <t>Cergy - Préfecture / Conflans - Fin d'Oise</t>
  </si>
  <si>
    <t>Neuville - Université / Achères - Ville</t>
  </si>
  <si>
    <t>Conflans - Fin d'Oise / Maisons-Laffitte</t>
  </si>
  <si>
    <t>Poissy / Maisons-Laffitte</t>
  </si>
  <si>
    <t>Achères - Grand Cormier / Achères - Ville / Sartrouville</t>
  </si>
  <si>
    <t>Maisons-Laffitte / Houilles - Carrières-sur-Seine</t>
  </si>
  <si>
    <t>Sartrouville / Nanterre - Préfecture</t>
  </si>
  <si>
    <t>Saint-Germain-en-Laye / Le Vésinet - Centre</t>
  </si>
  <si>
    <t>Le Vésinet - Le Pecq / Chatou - Croissy</t>
  </si>
  <si>
    <t>Le Vésinet - Centre / Rueil-Malmaison</t>
  </si>
  <si>
    <t>Chatou - Croissy / Nanterre - Ville</t>
  </si>
  <si>
    <t>Rueil-Malmaison / Nanterre - Université</t>
  </si>
  <si>
    <t>Nanterre - Ville / Nanterre - Préfecture</t>
  </si>
  <si>
    <t>La Défense Grande Arche / Nanterre - Université / Houilles - Carrières-sur-Seine</t>
  </si>
  <si>
    <t>Nanterre - Préfecture / Charles de Gaulle - Etoile</t>
  </si>
  <si>
    <t>La Défense Grande Arche / Auber</t>
  </si>
  <si>
    <t>Charles de Gaulle - Etoile / Châtelet - Les Halles</t>
  </si>
  <si>
    <t>Auber / Gare de Lyon</t>
  </si>
  <si>
    <t>Châtelet - Les Halles / Nation</t>
  </si>
  <si>
    <t>Gare de Lyon / Vincennes</t>
  </si>
  <si>
    <t>Nation / Val de Fontenay / Fontenay-sous-Bois</t>
  </si>
  <si>
    <t>Vincennes / Neuilly-Plaisance</t>
  </si>
  <si>
    <t>Val de Fontenay / Bry-sur-Marne</t>
  </si>
  <si>
    <t>Neuilly-Plaisance / Noisy-le-Grand - Mont d'Est</t>
  </si>
  <si>
    <t>Bry-sur-Marne / Noisy - Champs</t>
  </si>
  <si>
    <t>Noisy-le-Grand - Mont d'Est / Noisiel</t>
  </si>
  <si>
    <t>Noisy - Champs / Lognes</t>
  </si>
  <si>
    <t>Noisiel / Torcy</t>
  </si>
  <si>
    <t>Lognes / Bussy-Saint-Georges</t>
  </si>
  <si>
    <t>Torcy / Val d'Europe</t>
  </si>
  <si>
    <t>Bussy-Saint-Georges / Marne-la-Vallée - Chessy</t>
  </si>
  <si>
    <t>Vincennes / Nogent-sur-Marne</t>
  </si>
  <si>
    <t>Fontenay-sous-Bois / Joinville-le-Pont</t>
  </si>
  <si>
    <t>Nogent-sur-Marne / Saint-Maur - Créteil</t>
  </si>
  <si>
    <t>Joinville-le-Pont / Le Parc de Saint-Maur</t>
  </si>
  <si>
    <t>Saint-Maur - Créteil / Champigny</t>
  </si>
  <si>
    <t>Le Parc de Saint-Maur / La Varenne - Chennevières</t>
  </si>
  <si>
    <t>Champigny / Sucy - Bonneuil</t>
  </si>
  <si>
    <t>La Varenne - Chennevières / Boissy-Saint-Léger</t>
  </si>
  <si>
    <t>Aéroport Charles de Gaulle 2 TGV / Parc des expositions</t>
  </si>
  <si>
    <t>Aéroport Charles de Gaulle 1 / Villepinte</t>
  </si>
  <si>
    <t>Parc des expositions / Sevran - Beaudottes</t>
  </si>
  <si>
    <t>Villepinte / Aulnay-sous-Bois</t>
  </si>
  <si>
    <t>Mitry-Claye / Vert-Galant</t>
  </si>
  <si>
    <t>Villeparisis - Mitry-le-Neuf / Sevran - Livry</t>
  </si>
  <si>
    <t>Vert-Galant / Aulnay-sous-Bois</t>
  </si>
  <si>
    <t>Sevran - Livry / Le Blanc-Mesnil</t>
  </si>
  <si>
    <t>Aulnay-sous-Bois / Drancy - Avenir</t>
  </si>
  <si>
    <t>Le Blanc-Mesnil / Le Bourget</t>
  </si>
  <si>
    <t>Drancy - Avenir / La Courneuve - Aubervilliers</t>
  </si>
  <si>
    <t>Le Bourget / La Plaine - Stade de France</t>
  </si>
  <si>
    <t>La Courneuve - Aubervilliers / Gare du Nord</t>
  </si>
  <si>
    <t>La Plaine - Stade de France / Châtelet - Les Halles</t>
  </si>
  <si>
    <t>Gare du Nord / Saint-Michel - Notre Dame</t>
  </si>
  <si>
    <t>Châtelet - Les Halles / Luxembourg</t>
  </si>
  <si>
    <t>Saint-Michel - Notre Dame / Port-Royal</t>
  </si>
  <si>
    <t>Luxembourg / Denfert - Rochereau</t>
  </si>
  <si>
    <t>Port-Royal / Cité Universitaire</t>
  </si>
  <si>
    <t>Denfert - Rochereau / Gentilly</t>
  </si>
  <si>
    <t>Cité Universitaire / Laplace</t>
  </si>
  <si>
    <t>Gentilly / Arcueil - Cachan</t>
  </si>
  <si>
    <t>Laplace / Bagneux</t>
  </si>
  <si>
    <t>Arcueil - Cachan / Bourg-la-Reine</t>
  </si>
  <si>
    <t>Bagneux / Sceaux / Parc de Sceaux</t>
  </si>
  <si>
    <t>Bourg-la-Reine / Fontenay-aux-Roses</t>
  </si>
  <si>
    <t>Sceaux / Robinson</t>
  </si>
  <si>
    <t>Bourg-la-Reine / La Croix de Berny</t>
  </si>
  <si>
    <t>Sceaux / Antony</t>
  </si>
  <si>
    <t>Fontenay-aux-Roses / Fontaine-Michalon</t>
  </si>
  <si>
    <t>Robinson / Les Baconnets</t>
  </si>
  <si>
    <t>Parc de Sceaux / Massy - Verrières</t>
  </si>
  <si>
    <t>La Croix de Berny / Massy - Palaiseau</t>
  </si>
  <si>
    <t>Antony / Palaiseau</t>
  </si>
  <si>
    <t>Fontaine-Michalon / Palaiseau - Villebon</t>
  </si>
  <si>
    <t>Les Baconnets / Lozère</t>
  </si>
  <si>
    <t>Massy - Verrières / Le Guichet</t>
  </si>
  <si>
    <t>Massy - Palaiseau / Orsay - Ville</t>
  </si>
  <si>
    <t>Palaiseau / Bures-sur-Yvette</t>
  </si>
  <si>
    <t>Palaiseau - Villebon / La Hacquinière</t>
  </si>
  <si>
    <t>Lozère / Gif-sur-Yvette</t>
  </si>
  <si>
    <t>Le Guichet / Courcelle-sur-Yvette</t>
  </si>
  <si>
    <t>Orsay - Ville / Saint-Rémy-les-Chevreuse</t>
  </si>
  <si>
    <t>931aba86-62b2-426d-8652-4e73b2bcd0a0</t>
  </si>
  <si>
    <t>7dc4dcce-fb52-4bb1-a531-664afb45cbf7</t>
  </si>
  <si>
    <t>4b69513c-ba2b-4bc8-89d8-dfce811b63d2</t>
  </si>
  <si>
    <t>adaccfd7-1763-4952-a686-c2871cc9d53a</t>
  </si>
  <si>
    <t>b075a44f-d8b3-4a5d-8059-caf98512b33c</t>
  </si>
  <si>
    <t>8f7e6eef-7b1b-4067-8cd3-326052110de0</t>
  </si>
  <si>
    <t>6e1f82c5-28e2-43c2-85aa-115cfa82f6e7</t>
  </si>
  <si>
    <t>c291948b-53d5-4ab9-b9aa-8e20fda4f826</t>
  </si>
  <si>
    <t>ed22a500-8af2-4bd2-b253-1ae0501ccbbb</t>
  </si>
  <si>
    <t>2c75d1a7-58ba-453b-b8db-9494d7f552e7</t>
  </si>
  <si>
    <t>6b8aa7df-1532-439d-b8bd-f125afa732bb</t>
  </si>
  <si>
    <t>4b5d1b13-f99a-4c62-9a06-8e0ebbd6f2b1</t>
  </si>
  <si>
    <t>f11b6f5a-82d9-4f47-a0cd-5284a9ebb119</t>
  </si>
  <si>
    <t>11384cb2-c131-4585-98d7-789b83125bdc</t>
  </si>
  <si>
    <t>f19c544b-5450-4ea1-906d-7ef2eec2550c</t>
  </si>
  <si>
    <t>557de2a6-769c-4eb8-a1f6-3d979841888a</t>
  </si>
  <si>
    <t>1b5b7291-de68-4311-8ba5-456ac9f74362</t>
  </si>
  <si>
    <t>0721f188-f5c0-4f21-8411-64f3d84baecb</t>
  </si>
  <si>
    <t>6179e690-3e86-4bba-8dd5-fb057d7e6dfe</t>
  </si>
  <si>
    <t>722d56d7-dcf7-420c-870a-55f66d009b45</t>
  </si>
  <si>
    <t>9dec102f-03c1-4638-88e3-4dd571bb2522</t>
  </si>
  <si>
    <t>7981d484-f2ee-4aa6-8caf-48321618f9a2</t>
  </si>
  <si>
    <t>bff6071d-b2c1-4ee8-865c-6813ce548b54</t>
  </si>
  <si>
    <t>f7ec7d7f-37b5-4dd0-b3d3-c460b548101d</t>
  </si>
  <si>
    <t>aef3a6a5-5c29-4e13-bbbc-b721737c6a0d</t>
  </si>
  <si>
    <t>417d70c4-38a9-4028-b7d6-2df95e087f62</t>
  </si>
  <si>
    <t>84014256-963c-47b1-9bdf-5238822a3ced</t>
  </si>
  <si>
    <t>9ced3e66-9de2-4478-acb0-4c2f04b3201b</t>
  </si>
  <si>
    <t>7854cb5e-4a46-40ea-8ff3-2b30f024fbaf</t>
  </si>
  <si>
    <t>686e09c8-a77b-4d62-80f9-4030d223b789</t>
  </si>
  <si>
    <t>976cb5cd-6b3c-4fad-b590-6263ac2bcc4d</t>
  </si>
  <si>
    <t>6371bb04-d562-4775-8652-d2f124b60e85</t>
  </si>
  <si>
    <t>cfc9cdba-e99d-4236-8fd7-68e1a9e201db</t>
  </si>
  <si>
    <t>886ce59d-83fe-4e0c-b7a8-21ed194e6402</t>
  </si>
  <si>
    <t>0e5a6154-b982-4fd3-a2a0-1b5070a15b86</t>
  </si>
  <si>
    <t>4da1b00a-a109-4e0d-9858-43ff67f94949</t>
  </si>
  <si>
    <t>14eeb2e5-6472-4c02-aaab-e2fb37e550ad</t>
  </si>
  <si>
    <t>eb1b9028-c6e0-462b-8cef-24493d79863f</t>
  </si>
  <si>
    <t>ea739264-081f-4bce-ac36-3676c27ab935</t>
  </si>
  <si>
    <t>8c084ecb-397a-4723-b522-1f18e9fc17c0</t>
  </si>
  <si>
    <t>72a16b89-359c-48dc-96e7-392ce53f5b6e</t>
  </si>
  <si>
    <t>f90e5104-0911-40bb-a752-bc1b08a76e68</t>
  </si>
  <si>
    <t>c77ddaab-5997-4b95-8bfc-4338fecb7a93</t>
  </si>
  <si>
    <t>6238f55a-b0a9-4e7e-bf1a-bf409f0d9417</t>
  </si>
  <si>
    <t>f7a73056-09d1-46b9-9dcb-8084a68caaf2</t>
  </si>
  <si>
    <t>7ce73e63-8b17-4ee8-b754-605574ec41c1</t>
  </si>
  <si>
    <t>4a4b4f0b-317d-4c97-bc2b-d9c3d9b8961f</t>
  </si>
  <si>
    <t>aebe3d71-9518-4753-b677-504376af02ec</t>
  </si>
  <si>
    <t>7ab4bac0-67d2-4e11-b5f7-3675e5976ec6</t>
  </si>
  <si>
    <t>7e341a25-8975-45c4-a360-31ff4142eb07</t>
  </si>
  <si>
    <t>b21b14f6-2900-4957-a25b-a8da03916155</t>
  </si>
  <si>
    <t>42c68e1c-152b-46cc-8cc6-92fd5edfaaef</t>
  </si>
  <si>
    <t>dfffa7db-8cbd-47b5-97eb-df468322166c</t>
  </si>
  <si>
    <t>ef564f16-0fee-4674-9192-980c2ed6b785</t>
  </si>
  <si>
    <t>22c18322-1a3e-4934-9bae-2b2a9964029e</t>
  </si>
  <si>
    <t>87332c0f-711c-4007-aaec-89b2fb35f756</t>
  </si>
  <si>
    <t>2dba72ee-853b-4aa9-afcc-29f1859e4959</t>
  </si>
  <si>
    <t>86490e8a-2b09-4467-8799-3fb6aec02db3</t>
  </si>
  <si>
    <t>9361dff8-11cc-4528-a9cf-dc00132f7621</t>
  </si>
  <si>
    <t>7a20c948-4867-41dc-b429-cdfbdd9900a9</t>
  </si>
  <si>
    <t>f58b0c73-455f-4e2f-b15f-adbee5b032d5</t>
  </si>
  <si>
    <t>c56f26ef-2a2b-407c-aad0-95b9f2ad8984</t>
  </si>
  <si>
    <t>399157cb-3250-42c0-b8b4-ed342a6d01ee</t>
  </si>
  <si>
    <t>8cdf67fc-1279-46c1-95d6-97cf9918571d</t>
  </si>
  <si>
    <t>fa0ea82c-9d7d-43f1-a9c5-9eb26c311574</t>
  </si>
  <si>
    <t>adcc617f-f357-4f0f-a057-4b8b89aa0593</t>
  </si>
  <si>
    <t>d30e4168-1721-4d29-bf67-c9163244c551</t>
  </si>
  <si>
    <t>a80184e6-2c81-42a6-b184-9e63d127920a</t>
  </si>
  <si>
    <t>f5c5eda1-609d-4f5c-9343-a7fe3a394d69</t>
  </si>
  <si>
    <t>3684d555-ba5b-4a50-a2af-47b12f715cb5</t>
  </si>
  <si>
    <t>b681123e-1e7b-4cb5-b8dc-fe6cce0059d2</t>
  </si>
  <si>
    <t>26fa4c13-6510-48bf-94d9-15c57fb05b68</t>
  </si>
  <si>
    <t>1b1d9df3-8677-411e-a63f-e4f12b7d662f</t>
  </si>
  <si>
    <t>7489fb22-7a81-4d06-b1e6-1d3a688dc0b1</t>
  </si>
  <si>
    <t>62a92334-6805-4bcf-a386-447a24104fad</t>
  </si>
  <si>
    <t>5a0f6ae6-5a8b-4b8b-b0d4-c892221cca37</t>
  </si>
  <si>
    <t>9a3268a7-265f-4458-962e-74bff54a4bf6</t>
  </si>
  <si>
    <t>1af84157-7966-48a1-a3b4-74751b661652</t>
  </si>
  <si>
    <t>b3b4d1a8-d3f8-4b17-90a6-d5f1eed8bd14</t>
  </si>
  <si>
    <t>37f889a8-b754-4751-b796-dbde36c8ab99</t>
  </si>
  <si>
    <t>1e5cfc81-a465-4fb5-93fc-68226a75c007</t>
  </si>
  <si>
    <t>967a1ec6-0072-4023-b835-fb62e0899547</t>
  </si>
  <si>
    <t>3412e7a1-0e13-4137-894e-492cce2770fa</t>
  </si>
  <si>
    <t>2659eb37-01a2-49fe-b1da-e51dec281654</t>
  </si>
  <si>
    <t>f1dfcaec-2325-4af6-a519-b2c65f4b1fe0</t>
  </si>
  <si>
    <t>c0487de7-f2fc-459f-bb2c-baa74a310f0f</t>
  </si>
  <si>
    <t>65e99e5e-36dc-4922-90ba-105a55cd5eb4</t>
  </si>
  <si>
    <t>15d889b4-5378-431e-9ba7-f085d660a852</t>
  </si>
  <si>
    <t>3efe97bb-00a0-4409-ad1e-02904f983c71</t>
  </si>
  <si>
    <t>c81d149d-54a3-4578-8345-8f7a7bc099c0</t>
  </si>
  <si>
    <t>4bb9d03d-7654-4ee3-826a-e488311bafff</t>
  </si>
  <si>
    <t>1cccfbd7-eb73-420d-a68d-90c8b44bee7c</t>
  </si>
  <si>
    <t>07c76780-28db-4b91-9413-0183c9844b2c</t>
  </si>
  <si>
    <t>57b4c724-c9d7-4d0b-8bee-8cc3ba4b29d5</t>
  </si>
  <si>
    <t>0820663b-621c-4ab5-baf3-92fdf7f4ee19</t>
  </si>
  <si>
    <t>662e867f-7e17-4182-89be-b8187b92e6f3</t>
  </si>
  <si>
    <t>1f270f81-7c03-485a-95e9-f59b899f1d93</t>
  </si>
  <si>
    <t>736ae7c5-4abc-4c83-af42-fb3242cddfb5</t>
  </si>
  <si>
    <t>9dd9d0b8-47ec-4998-9d68-afc50942c8cd</t>
  </si>
  <si>
    <t>6d6afe6d-35a7-4705-9118-ceb09609d247</t>
  </si>
  <si>
    <t>133255c6-25c5-4029-8d89-86e6d407e2b6</t>
  </si>
  <si>
    <t>a9feedba-6ea0-4680-a81c-7f0831524498</t>
  </si>
  <si>
    <t>507ad2d3-0227-48b2-a469-7ff01473e555</t>
  </si>
  <si>
    <t>29186163-7fd6-4c44-9910-711b9d3a4aba</t>
  </si>
  <si>
    <t>c959305a-daa7-4449-af7e-93e1da988149</t>
  </si>
  <si>
    <t>542f264e-8258-4ccd-93fa-fa99bc62721b</t>
  </si>
  <si>
    <t>8666cee0-4040-44a7-a6a8-6ff72f10b8b8</t>
  </si>
  <si>
    <t>9cdc01d8-f21a-4d48-bbd1-707c3ebd239e</t>
  </si>
  <si>
    <t>846c6a2b-8b12-4ec2-a62f-8e016760347c</t>
  </si>
  <si>
    <t>143c947a-b54e-4b0e-a112-caf368668af3</t>
  </si>
  <si>
    <t>31079b89-0f7e-4111-99bd-a0e8aafe471f</t>
  </si>
  <si>
    <t>fb2de717-85f9-4fa7-99a9-ee50011c20c5</t>
  </si>
  <si>
    <t>16e5c558-b070-426b-aa7a-bb8e0e3a547b</t>
  </si>
  <si>
    <t>9f7d1bbc-6087-4c99-8b05-21dc7b81d699</t>
  </si>
  <si>
    <t>c074dad9-40a5-4201-98b6-4a9d6dc7df3e</t>
  </si>
  <si>
    <t>aebed705-d439-4ce2-b656-8d7e90064686</t>
  </si>
  <si>
    <t>654f0293-c84c-43e8-94b6-d5965677687d</t>
  </si>
  <si>
    <t>87f3b9d3-2593-48e2-b77d-b002960655da</t>
  </si>
  <si>
    <t>c50966cf-d22e-4c7b-8d88-428a77c7e1c4</t>
  </si>
  <si>
    <t>95958a7a-ef6d-46d5-b754-46494e2743b2</t>
  </si>
  <si>
    <t>71e96357-09ee-44b9-af6d-9cf9719fde1d</t>
  </si>
  <si>
    <t>0d4c800d-6be3-4dc4-a798-9cce6ad0d64a</t>
  </si>
  <si>
    <t>a66685b9-21dd-4818-a327-ced311c4445f</t>
  </si>
  <si>
    <t>f1105729-9ea5-4e89-8394-16faf81e5e7d</t>
  </si>
  <si>
    <t>b1b04d92-65c9-4e5c-a9e5-8ea2779ae716</t>
  </si>
  <si>
    <t>54b2bdfb-465f-4a2f-b893-96d42c0734c0</t>
  </si>
  <si>
    <t>ed628934-d900-4556-9aad-c13922e44850</t>
  </si>
  <si>
    <t>c11cc6c2-4023-4c09-93a6-ca4d5ba0a6b1</t>
  </si>
  <si>
    <t>63388f9b-9f39-48f4-918f-2971b3f647c8</t>
  </si>
  <si>
    <t>603ccce4-575b-4c2f-96ae-905ba7425bc6</t>
  </si>
  <si>
    <t>51f19775-180b-4980-a77b-ae441ac6cc51</t>
  </si>
  <si>
    <t>cfa30fed-19b0-4629-8dbf-b085ab0c439d</t>
  </si>
  <si>
    <t>211f8761-5f0b-465b-8ce9-ddad23a8914c</t>
  </si>
  <si>
    <t>7ff99a5e-9632-408a-ac0d-545e64654af3</t>
  </si>
  <si>
    <t>43e81119-c38a-4688-88ec-24edc0aa84d9</t>
  </si>
  <si>
    <t>48bd83f9-3fc0-423d-bb6c-4cd73d590081</t>
  </si>
  <si>
    <t>f5f1d331-37fd-47ac-91ab-825e4f91b880</t>
  </si>
  <si>
    <t>4fb76c2f-217f-4360-9602-786131405c5c</t>
  </si>
  <si>
    <t>094351ed-9242-4c6c-b4b1-260bbd9134ab</t>
  </si>
  <si>
    <t>e0f140dd-b737-4a40-a6c8-3203de4f18b9</t>
  </si>
  <si>
    <t>df423326-099b-4ad5-bc8c-8e1618dff02a</t>
  </si>
  <si>
    <t>ba127fcc-7e36-4f0a-9c18-13e10f3a4f42</t>
  </si>
  <si>
    <t>6795fa67-26bb-447e-a585-ff1aeb6a3064</t>
  </si>
  <si>
    <t>7f2e06ca-a476-40ab-b50f-cf9fab059ebb</t>
  </si>
  <si>
    <t>ac6e3b5e-be3b-4be0-a786-c99bdf280cd5</t>
  </si>
  <si>
    <t>4bc14ec3-fabc-4597-ad79-6acfb3fda826</t>
  </si>
  <si>
    <t>828c90a9-2226-4a81-9b27-27c2d33b02b9</t>
  </si>
  <si>
    <t>0cd999aa-3a95-47f3-bb58-f9460e475241</t>
  </si>
  <si>
    <t>c7a19df2-57d8-482a-b8ee-c174dcf5a141</t>
  </si>
  <si>
    <t>6259b8d6-ec13-4475-a7e6-e5b92ffefe98</t>
  </si>
  <si>
    <t>18be587e-3898-4d2a-a553-e6c3a4c9f653</t>
  </si>
  <si>
    <t>6e9ead72-b82e-47b0-9128-fecd4012a275</t>
  </si>
  <si>
    <t>bb7237d4-b227-4e2d-bbee-ab26f842138e</t>
  </si>
  <si>
    <t>d732e5d5-2335-4a25-b47f-603183ffff0e</t>
  </si>
  <si>
    <t>416d49dd-e7ac-47ba-91b9-119efae11e61</t>
  </si>
  <si>
    <t>309d4ce9-3506-40f0-88ac-9c0dfe7ebee3</t>
  </si>
  <si>
    <t>2da3932d-2041-4b63-9cf9-e0d4db49c276</t>
  </si>
  <si>
    <t>ad395585-b3c8-46e9-8e22-b6a020d2e319</t>
  </si>
  <si>
    <t>81c0a44a-6015-41e6-841a-455725e057f8</t>
  </si>
  <si>
    <t>ceb91256-c9be-44bd-8434-4cfc4e95a929</t>
  </si>
  <si>
    <t>b34ccb12-b0b9-45c8-ba0b-3ca0ed9fbc00</t>
  </si>
  <si>
    <t>1f021cd4-b76a-4063-90bd-3c10032984da</t>
  </si>
  <si>
    <t>193dbad4-4149-4e46-b7c7-14fdbe84c6ca</t>
  </si>
  <si>
    <t>92f110e3-5cfb-4c89-998b-1bfb9672b7fe</t>
  </si>
  <si>
    <t>4b0d10b7-350b-4be3-b159-aeb8bf30bf5c</t>
  </si>
  <si>
    <t>5bfa2d19-ed21-4044-8bfa-e33c0f691039</t>
  </si>
  <si>
    <t>6de37ffb-5503-428d-83df-63236d4cc0e8</t>
  </si>
  <si>
    <t>cff88931-c11e-4200-909b-7b045aa6e3c6</t>
  </si>
  <si>
    <t>8a7ffa99-6934-41b1-8edb-c0a3da59fd7e</t>
  </si>
  <si>
    <t>1799ec37-9cb6-4c52-99e7-c2792d373b32</t>
  </si>
  <si>
    <t>d0982cd8-ae59-432d-aede-dde646496aff</t>
  </si>
  <si>
    <t>198bf470-ffab-45e5-be8a-501e871f45bd</t>
  </si>
  <si>
    <t>35173048-6a58-4257-8740-f73b7b8c8133</t>
  </si>
  <si>
    <t>a635ac18-3403-47e6-934c-4e6dc2a18845</t>
  </si>
  <si>
    <t>3e3db65d-6a6a-4419-b70c-0d36ffe8414d</t>
  </si>
  <si>
    <t>cac404a2-6f2d-4ba2-822e-aa8a29007bdd</t>
  </si>
  <si>
    <t>8c735017-5681-4f25-bf19-ba8158a0173e</t>
  </si>
  <si>
    <t>5ffa76dd-ebed-41d4-8ade-2f9215d6957b</t>
  </si>
  <si>
    <t>29ea70ee-44e4-4094-9af3-c60388a59e14</t>
  </si>
  <si>
    <t>8bd73a9c-b81f-417f-b269-7a56004d0e7e</t>
  </si>
  <si>
    <t>aca412b1-d2ed-40ea-9ca1-d51ff994709f</t>
  </si>
  <si>
    <t>75cf4f7c-b79d-4ef0-9ecd-916e4eac2bb1</t>
  </si>
  <si>
    <t>436ceedb-6fc4-4fb0-b7b9-3e033faefd44</t>
  </si>
  <si>
    <t>c3807869-d394-40e2-a815-0b082e338493</t>
  </si>
  <si>
    <t>bc9702ec-3d75-4830-96a1-9cd023419b20</t>
  </si>
  <si>
    <t>fd7c0257-eec3-4ff7-a11c-bde12e8b527a</t>
  </si>
  <si>
    <t>c72aa66c-12e7-431e-915b-2a2298a37130</t>
  </si>
  <si>
    <t>1082c504-0a2b-4d64-94b6-ee21df712688</t>
  </si>
  <si>
    <t>abaca23a-cec9-4e26-ab9b-b86a19b8197d</t>
  </si>
  <si>
    <t>8bcbafb6-7e1a-42c3-a72a-9a2d33c82df2</t>
  </si>
  <si>
    <t>d24a3652-df89-4df7-ab83-87be30c96bc3</t>
  </si>
  <si>
    <t>1ef80c52-ea64-4716-aa40-79fa6aae636d</t>
  </si>
  <si>
    <t>bef02841-a926-4bb0-a85b-e50ae8af6306</t>
  </si>
  <si>
    <t>dcd3c281-fe38-47e2-933a-4ed68fcf21fb</t>
  </si>
  <si>
    <t>1a5a1863-0268-4349-8b6f-44a9156f5f2f</t>
  </si>
  <si>
    <t>ff7ed0b5-ad5c-4b0b-b141-54789be6acc9</t>
  </si>
  <si>
    <t>e08cda45-1924-4f37-9eb2-e34ac2ff2474</t>
  </si>
  <si>
    <t>8ed651bf-b98d-4a78-8f7e-4588e15235e0</t>
  </si>
  <si>
    <t>ef06383d-4b4d-488c-8968-ce37fb339f9d</t>
  </si>
  <si>
    <t>bf02efc0-4d15-433d-8d4c-dbdce02a9a7c</t>
  </si>
  <si>
    <t>ada5500f-b6c5-4837-925d-af52f4666c91</t>
  </si>
  <si>
    <t>0e09dc70-0b89-4dcd-bec5-cd118ac468f9</t>
  </si>
  <si>
    <t>43ef3fa0-025c-4ec1-abc7-6a51c5e86452</t>
  </si>
  <si>
    <t>fa8a67b0-83b1-4870-b797-875cc0f1b8ab</t>
  </si>
  <si>
    <t>d258b0c4-7e0a-40e9-b4d0-fa2bd089ce1a</t>
  </si>
  <si>
    <t>d289ec98-4185-456e-825c-f30c3086717b</t>
  </si>
  <si>
    <t>f75d3f57-03aa-4fcf-b6b7-8d06f1759123</t>
  </si>
  <si>
    <t>fe590257-cf37-4c92-b9d5-315b920abc89</t>
  </si>
  <si>
    <t>ab33216d-23e9-4b4b-836f-eadc06c8c156</t>
  </si>
  <si>
    <t>2f8f560c-c7a2-47c9-acfd-32f70a085c79</t>
  </si>
  <si>
    <t>ac52043f-4d63-4f8b-8817-91466ce0e079</t>
  </si>
  <si>
    <t>2dd5673d-25fe-43da-8474-fb0c1c0b3d5e</t>
  </si>
  <si>
    <t>282f6040-e386-4610-b113-3cbd7aba25e2</t>
  </si>
  <si>
    <t>142d5f26-94a0-4952-9fc0-0c9fc8791ce5</t>
  </si>
  <si>
    <t>ca08a604-08fb-4a6c-8850-66b54a221271</t>
  </si>
  <si>
    <t>fe869998-52a1-4eee-902b-86e9a6c71274</t>
  </si>
  <si>
    <t>39f06b97-0f43-4a9c-9095-8b905ebbe861</t>
  </si>
  <si>
    <t>6f2a2e51-29ad-4cbc-9c01-d2d47ed67450</t>
  </si>
  <si>
    <t>3d2b4ddc-a522-4b9e-b661-e1ae1f4d51c5</t>
  </si>
  <si>
    <t>c5cb1e26-ee16-4169-8038-514fe0825dae</t>
  </si>
  <si>
    <t>3671235c-e559-415b-8bf1-e5544d47139f</t>
  </si>
  <si>
    <t>8d765992-5adb-4d70-abfc-763647c14038</t>
  </si>
  <si>
    <t>951ee780-77bb-4419-831d-4ab7b4d3df04</t>
  </si>
  <si>
    <t>261656f3-d022-46ce-b4ec-83627ea24bde</t>
  </si>
  <si>
    <t>afa5688c-4baf-4f28-9547-040b37b20861</t>
  </si>
  <si>
    <t>d34b7527-5d7e-4937-8438-80be3cb0c644</t>
  </si>
  <si>
    <t>52adba81-2fad-4ae3-aa4f-41e76ae9779e</t>
  </si>
  <si>
    <t>11701f67-ba40-48e0-8b32-e06df6daa5b5</t>
  </si>
  <si>
    <t>c59bdcde-9a82-49b3-a451-3c94a523a6ef</t>
  </si>
  <si>
    <t>3874940f-45ef-4244-be34-19196c9f5db6</t>
  </si>
  <si>
    <t>3002230a-fda1-42f2-b7a9-b2ba7e47a622</t>
  </si>
  <si>
    <t>10b2858a-c3ca-4e9f-977a-f48f779206f4</t>
  </si>
  <si>
    <t>bd1a1474-ee65-47d7-82d7-677c7af90927</t>
  </si>
  <si>
    <t>85b31df8-7e1c-4ede-8f89-ff00f8762634</t>
  </si>
  <si>
    <t>eb94d415-acda-4848-8ad1-e45cdd2c4583</t>
  </si>
  <si>
    <t>e8904750-5dfa-4bfd-a44f-b6e5592cffda</t>
  </si>
  <si>
    <t>0b2a58f5-45ab-4f29-b421-11dda92fb479</t>
  </si>
  <si>
    <t>2f2f66c0-e8a0-4098-bc21-8f1584ae1951</t>
  </si>
  <si>
    <t>16f14c0c-9b59-4370-96b9-152d89831cb3</t>
  </si>
  <si>
    <t>db1515e4-c9d6-4074-9692-d0adb0a97d52</t>
  </si>
  <si>
    <t>3dbc8a57-a430-4523-8689-acea1a0788c6</t>
  </si>
  <si>
    <t>f96b7e18-34fc-447b-b3d6-12c091363a38</t>
  </si>
  <si>
    <t>c047cb73-46d7-498b-8b2d-cd1826261ddc</t>
  </si>
  <si>
    <t>d3ff386f-fe32-49bd-9661-e192c0d4cb59</t>
  </si>
  <si>
    <t>2e2ac7e7-09cd-4826-87f9-b59ea1998a7b</t>
  </si>
  <si>
    <t>e1695baa-39a8-4dd7-87bc-53c35c5149f4</t>
  </si>
  <si>
    <t>637fa0cf-91fa-4018-b8c6-102be4a53f1b</t>
  </si>
  <si>
    <t>432928f6-633b-4d42-863d-773ee3953102</t>
  </si>
  <si>
    <t>61eef6f8-f489-49f1-9c32-3b33ab0e6cb9</t>
  </si>
  <si>
    <t>bed4ec3f-5415-4068-af0c-85e2f0a38ce7</t>
  </si>
  <si>
    <t>d3a0757d-2060-40f0-86d7-c5e9a941dfae</t>
  </si>
  <si>
    <t>568a1e23-24c0-47e9-ba89-6d19169004f0</t>
  </si>
  <si>
    <t>1734cbd3-b14b-4d7d-986d-433b91819c0c</t>
  </si>
  <si>
    <t>4cf13cf6-9ff0-4e93-b744-1f7af9e0c343</t>
  </si>
  <si>
    <t>fdd0cb68-1585-49da-96a9-b7eb8835d079</t>
  </si>
  <si>
    <t>26c00923-7c23-4eda-bec5-64fc25b198e2</t>
  </si>
  <si>
    <t>ecea6634-907c-4175-91ca-80375dd48d56</t>
  </si>
  <si>
    <t>fbd9f89e-4054-45e4-8987-d03bda788bca</t>
  </si>
  <si>
    <t>911e0fd8-300f-4cac-bee1-7b6e05db7b08</t>
  </si>
  <si>
    <t>6376aa24-7a38-418b-97e5-2ee7d692d175</t>
  </si>
  <si>
    <t>f1ddf210-91f0-45d4-bf3b-f497a0289af2</t>
  </si>
  <si>
    <t>72f10520-e9ce-465a-ab43-49fe88f8c0e3</t>
  </si>
  <si>
    <t>375cc20f-e08d-4146-a984-ccfa82bfc095</t>
  </si>
  <si>
    <t>0a9acd52-fa71-4e19-a87e-aab76287c708</t>
  </si>
  <si>
    <t>1d6a7605-5492-4353-aa07-63f195c2719f</t>
  </si>
  <si>
    <t>59442a81-2510-4435-9a3f-fb653d79b1de</t>
  </si>
  <si>
    <t>02932277-38b3-46d2-97cc-4c153917343d</t>
  </si>
  <si>
    <t>4cb79886-8622-43c4-933c-5eac83c80196</t>
  </si>
  <si>
    <t>f4359c1d-9752-4695-a28a-f74cce35d316</t>
  </si>
  <si>
    <t>86ad4aff-4ecb-4d08-81c5-983880074004</t>
  </si>
  <si>
    <t>726daa20-7b5a-4b4a-aa23-401c80a6fbe3</t>
  </si>
  <si>
    <t>90109d32-aa97-4b96-b387-7d0415f84fba</t>
  </si>
  <si>
    <t>d53a2d73-700b-439c-889e-ded649ef71d0</t>
  </si>
  <si>
    <t>8e656d19-90a3-47c7-b4d2-8e7763d66dbc</t>
  </si>
  <si>
    <t>124c6604-06e6-49e6-a78c-581d312f1654</t>
  </si>
  <si>
    <t>d3cec335-9baa-44ac-9171-64606000a5b0</t>
  </si>
  <si>
    <t>4faac447-7799-4e13-9ec5-a23102f5ac7b</t>
  </si>
  <si>
    <t>2345b754-b6e2-4a6f-aa55-1f09347baf79</t>
  </si>
  <si>
    <t>468b75ae-37ea-4aea-b609-4b10c8681973</t>
  </si>
  <si>
    <t>9f797be0-0e1b-4594-8c38-e44e648b20d3</t>
  </si>
  <si>
    <t>fd89a94f-e317-4f1b-8fd8-0bd31d87f24d</t>
  </si>
  <si>
    <t>1ddbc8e6-dd42-4646-93dd-6b4034a2bc8c</t>
  </si>
  <si>
    <t>64cb3d56-3457-4576-a014-2e0d6fed4d20</t>
  </si>
  <si>
    <t>5f3d5fa8-3be3-4246-adcd-3f519ada085a</t>
  </si>
  <si>
    <t>cde1df36-37e8-4759-97e2-79193ff7e74f</t>
  </si>
  <si>
    <t>de11e878-074b-4098-bd8a-f4e262e7775c</t>
  </si>
  <si>
    <t>84553745-222e-4d40-90ec-43b3636931a3</t>
  </si>
  <si>
    <t>ee10ce0b-1d5d-4b21-8579-e8b5f0b9b242</t>
  </si>
  <si>
    <t>dd1abdd2-dd87-4842-b87f-ea6e2e0f7ec4</t>
  </si>
  <si>
    <t>b2c45c35-0ca0-4594-8424-6bd91c26d2e1</t>
  </si>
  <si>
    <t>2a2b6abd-d71e-4590-b2fd-b72a73879f94</t>
  </si>
  <si>
    <t>83af1ed0-bdae-41d9-a279-bc42aa2660e0</t>
  </si>
  <si>
    <t>02dde52d-4689-45da-8452-2ee7c74212eb</t>
  </si>
  <si>
    <t>3e2c371a-e8f7-4e3c-a7ee-38ebbf4c5595</t>
  </si>
  <si>
    <t>d6e5ee4b-814c-4b2a-9fa8-f2735e2c9017</t>
  </si>
  <si>
    <t>eba7ff4f-483a-4c72-8986-2ac17b450516</t>
  </si>
  <si>
    <t>559295c2-b854-4aa1-bc9e-70dfff93a337</t>
  </si>
  <si>
    <t>5533cf33-8e36-499b-8075-9723a7a2660e</t>
  </si>
  <si>
    <t>9239d3f5-dc6a-4fa8-a74e-30d6993b2eac</t>
  </si>
  <si>
    <t>185d5f86-608f-4d31-afc8-c5110ee4f0a7</t>
  </si>
  <si>
    <t>6e5dcecc-e513-4260-acc1-668dd46e53e6</t>
  </si>
  <si>
    <t>ddef0c0b-3f4b-417a-bfe6-1a27af8f26e2</t>
  </si>
  <si>
    <t>09600e13-5d3a-4eda-bdfd-49336708740e</t>
  </si>
  <si>
    <t>8e6901c6-27f1-4676-912f-dd5f4d061134</t>
  </si>
  <si>
    <t>268d47f0-6252-46a1-94a6-88456a1a8dc8</t>
  </si>
  <si>
    <t>6aa643b8-56ef-4643-905c-7cac24f37959</t>
  </si>
  <si>
    <t>a2370c1d-0b9d-4aa8-b493-45a5199e16aa</t>
  </si>
  <si>
    <t>6c1baa90-71ee-44c4-8714-db6a53181bfb</t>
  </si>
  <si>
    <t>58085b8e-9cae-4584-89fd-b2d69c637cde</t>
  </si>
  <si>
    <t>4fbcbfe0-8815-41db-a943-e5424ea99ea8</t>
  </si>
  <si>
    <t>a32b5835-97a0-4832-a4ce-b2f7a7b10861</t>
  </si>
  <si>
    <t>a64518fc-d09c-407e-9fcc-263a264152cc</t>
  </si>
  <si>
    <t>82381e75-895e-462f-bd41-2928a2f61f72</t>
  </si>
  <si>
    <t>18fb0174-9a3f-4a8d-85c0-ed4274c983ab</t>
  </si>
  <si>
    <t>4744fb65-3da3-4200-9395-c86b806cfc75</t>
  </si>
  <si>
    <t>9c787a97-f670-4c00-869e-ad398e7956d4</t>
  </si>
  <si>
    <t>689313fb-db9f-4d12-94c5-12d012e21a4e</t>
  </si>
  <si>
    <t>1bffaee2-e85d-4c4c-9a8b-c17aea88abe7</t>
  </si>
  <si>
    <t>6069335a-2789-440b-946b-c0e8417d8291</t>
  </si>
  <si>
    <t>98c12d86-dbff-4418-a99b-50daf21c9adb</t>
  </si>
  <si>
    <t>0211e977-3fab-4998-b31c-8aee6a8af3db</t>
  </si>
  <si>
    <t>2b30f7ed-a342-4678-ab74-57195da66374</t>
  </si>
  <si>
    <t>ca622c09-1114-41b2-b288-696e63c4a003</t>
  </si>
  <si>
    <t>758c726c-61fc-4879-bb56-729501a17c77</t>
  </si>
  <si>
    <t>eb5b00e0-dca5-4436-8d78-3a7af969add1</t>
  </si>
  <si>
    <t>a7d4819b-c465-4d53-a8b5-bb802690b965</t>
  </si>
  <si>
    <t>cd0bdb04-3eda-43a1-9efe-4b7d9b75df8e</t>
  </si>
  <si>
    <t>7d5e1dc0-a10b-42b6-bf9f-210e8ded2162</t>
  </si>
  <si>
    <t>4569dd50-d839-4235-8ee5-fda8bd00745a</t>
  </si>
  <si>
    <t>e4e3c9ba-a099-4405-b121-6136b77a7ffc</t>
  </si>
  <si>
    <t>19ca8223-0181-4709-8f59-d660f4ca10a4</t>
  </si>
  <si>
    <t>887da25f-1f69-4932-8a19-ec10d3fb7d48</t>
  </si>
  <si>
    <t>d1c33530-052c-4312-973c-c631c15cb000</t>
  </si>
  <si>
    <t>1dc2926c-7927-430c-8463-fd32ed071515</t>
  </si>
  <si>
    <t>3e888cb0-256f-4eee-a47e-0c8300c85095</t>
  </si>
  <si>
    <t>cb863278-653a-47c7-9e6a-1e6c75f60282</t>
  </si>
  <si>
    <t>72b9050f-8c2c-4309-9a86-143ea9f36ca2</t>
  </si>
  <si>
    <t>90937f08-07da-433e-9a00-d30f648c831d</t>
  </si>
  <si>
    <t>2c7b25b7-0bb2-470f-9a9a-a23a0470243f</t>
  </si>
  <si>
    <t>1a09c8ab-51c7-476c-9ff7-0ca01a1bd14f</t>
  </si>
  <si>
    <t>a71db73d-17f1-402b-8baa-1b5b5605a443</t>
  </si>
  <si>
    <t>0f70ad76-050f-4087-b0eb-558c25c10438</t>
  </si>
  <si>
    <t>573087c6-c5cb-4fdf-8681-db7a05f3cf8e</t>
  </si>
  <si>
    <t>2bb16a4a-cc10-49fe-8431-b89c5541c1cf</t>
  </si>
  <si>
    <t>3e6ae329-63ee-43e5-9aef-7851a25e94d2</t>
  </si>
  <si>
    <t>c435070b-8df4-48e1-8a43-f11b02dc6855</t>
  </si>
  <si>
    <t>93d2e4c6-fafb-4031-a3d3-286947df8ad1</t>
  </si>
  <si>
    <t>4db8cbce-71c3-4613-b31c-704630e7985c</t>
  </si>
  <si>
    <t>4583dd47-6a48-489a-b1c6-0cb5e5e5f4bd</t>
  </si>
  <si>
    <t>af0acfbd-56cd-4eed-bfb2-1b76756e3fc6</t>
  </si>
  <si>
    <t>9f50dc60-b5d9-4b7a-b617-5e9fca80b077</t>
  </si>
  <si>
    <t>4a572c7f-d6aa-463d-96b6-2fe08982b4ee</t>
  </si>
  <si>
    <t>f35b4f7f-55b3-4295-a883-914c0fe8b78c</t>
  </si>
  <si>
    <t>7c761c0a-2582-40f8-b5dc-3cb5901b7fcb</t>
  </si>
  <si>
    <t>6ce304a8-d728-4785-9c33-2a6e46e9894a</t>
  </si>
  <si>
    <t>b948b60b-f2e7-4304-b520-af86d835aa35</t>
  </si>
  <si>
    <t>4b528796-059c-4f8a-881c-3fd6f20b37dd</t>
  </si>
  <si>
    <t>62529ce6-31f2-4b69-a3b4-0192ee378e04</t>
  </si>
  <si>
    <t>b0bc2fdc-0b35-4f0d-898d-d560234251b2</t>
  </si>
  <si>
    <t>30dca964-011c-4b53-988d-045d8aac3930</t>
  </si>
  <si>
    <t>8db1530c-7cbb-4864-abeb-9fc4d7eab158</t>
  </si>
  <si>
    <t>53ee4d31-2f15-4fe9-b93a-6770b5ab39eb</t>
  </si>
  <si>
    <t>b9d54b52-8347-4d51-aa7e-db665c2fbd26</t>
  </si>
  <si>
    <t>e58bd036-bf08-49dc-a298-20d2ff94d4c8</t>
  </si>
  <si>
    <t>6821c140-7e52-4467-9758-72eb5e2f8932</t>
  </si>
  <si>
    <t>2894290c-d5e6-4f06-bbe6-9b1bc6c33011</t>
  </si>
  <si>
    <t>7d4e03be-6790-4818-8bd1-ee414fa60287</t>
  </si>
  <si>
    <t>ae253ccc-a660-40e6-ae37-49e97a0f321a</t>
  </si>
  <si>
    <t>89f5a52e-5d98-432a-98d1-76f780f1753e</t>
  </si>
  <si>
    <t>b75ad4f2-e917-4431-9159-d8bc99b67f3f</t>
  </si>
  <si>
    <t>ecf96891-cc49-4a36-bdf6-89d570f49019</t>
  </si>
  <si>
    <t>cb473950-4e78-4456-8146-7ecdd05640c0</t>
  </si>
  <si>
    <t>8b55be82-e3d5-4b35-b52e-d4b8c1cacf01</t>
  </si>
  <si>
    <t>a886f296-c9c5-474f-aae6-2c8024cd4319</t>
  </si>
  <si>
    <t>40de1724-24ce-42c1-b983-6c75f9243a89</t>
  </si>
  <si>
    <t>8d21e598-63fe-4f88-8481-e73872580026</t>
  </si>
  <si>
    <t>65e993aa-a947-47b1-95b2-2111dfa580c1</t>
  </si>
  <si>
    <t>2c15fe08-6e0a-4aa8-8a34-6257bfae5c44</t>
  </si>
  <si>
    <t>ac0c0f90-78c5-4195-966f-53bd3bbc6826</t>
  </si>
  <si>
    <t>ea99121d-8d06-4929-a8e3-fb85f586acb7</t>
  </si>
  <si>
    <t>3c32e4d2-0942-4628-9533-0eaa28f89d58</t>
  </si>
  <si>
    <t>a4839a8f-3d00-4bd3-a8b6-1f4505ce25e1</t>
  </si>
  <si>
    <t>a17ed359-39f1-4d96-912d-e871be832d13</t>
  </si>
  <si>
    <t>c4b7549c-cc42-41a2-ab93-d204f70c5325</t>
  </si>
  <si>
    <t>abb14255-67ac-473c-bacd-25e237a51365</t>
  </si>
  <si>
    <t>34821968-3d33-4566-b5a4-accef904260b</t>
  </si>
  <si>
    <t>bfd1abda-41d9-455c-b49a-ada1715fd310</t>
  </si>
  <si>
    <t>7d6de6c6-2c48-4d98-9b6c-cca82e118a6c</t>
  </si>
  <si>
    <t>b45c811c-4168-4a23-8e2a-5b2e2e4b7e06</t>
  </si>
  <si>
    <t>849f0940-ba0a-49e6-beda-bcea6b9b3979</t>
  </si>
  <si>
    <t>a310b8e4-2c50-451a-a33e-f0b6240df6d6</t>
  </si>
  <si>
    <t>7346cfc7-c553-4137-a813-1c7301d5a478</t>
  </si>
  <si>
    <t>a38d1171-2a8e-46d2-a37c-bc484cda8e47</t>
  </si>
  <si>
    <t>b27808b3-9ccd-42d3-95fc-8b3c91986884</t>
  </si>
  <si>
    <t>af3a0583-91c8-444b-982c-aa6eb0ae592d</t>
  </si>
  <si>
    <t>85920b1a-84a5-42d9-8456-2e43a0f74415</t>
  </si>
  <si>
    <t>57b6ea55-c043-4392-832c-b21b43c0e661</t>
  </si>
  <si>
    <t>bb40fc64-1449-4140-b6cf-376d9be6c34f</t>
  </si>
  <si>
    <t>c0677cc8-5f7b-4cd7-9ba3-f6bc1b44d487</t>
  </si>
  <si>
    <t>6275bda9-2d13-4f2b-a546-231ec2dd5a67</t>
  </si>
  <si>
    <t>d57c1da7-1699-49a8-a38d-5d0ba916a86f</t>
  </si>
  <si>
    <t>2eb465a6-1645-4dd1-8107-84f50c11328c</t>
  </si>
  <si>
    <t>d701d15c-9991-44af-8852-f7692e7e9c33</t>
  </si>
  <si>
    <t>188dd35f-b741-4149-bef8-84efe2cc1533</t>
  </si>
  <si>
    <t>f61ac045-42e8-4d55-89cc-3ca165c77d65</t>
  </si>
  <si>
    <t>a3877236-11b4-4608-9c90-5d8606d78d81</t>
  </si>
  <si>
    <t>0287a40d-8da1-4cf2-b85d-4cd246b641fb</t>
  </si>
  <si>
    <t>460f0972-40a2-41fe-8cee-68b45bd6d72e</t>
  </si>
  <si>
    <t>05c0e330-5ad9-4534-8b80-16ca2ef19c21</t>
  </si>
  <si>
    <t>85d44abb-d083-47e6-958b-d9f1b6e9cffb</t>
  </si>
  <si>
    <t>f06bc69b-a544-4527-99f3-bd785128b77a</t>
  </si>
  <si>
    <t>c33d16b0-0871-4b96-9a53-142130150fa7</t>
  </si>
  <si>
    <t>4e94d3a9-bf33-45bf-9f0e-1eae0602bb65</t>
  </si>
  <si>
    <t>ebcce42a-da29-4e41-bdc9-fc34178293ad</t>
  </si>
  <si>
    <t>29be1371-2f58-4153-afa6-0bc9db5848e0</t>
  </si>
  <si>
    <t>f3726475-8d14-4981-b1ed-c2aa2eabb57a</t>
  </si>
  <si>
    <t>a6c8d538-02fe-401f-bc3c-eb0531933e49</t>
  </si>
  <si>
    <t>0a5eecc3-9832-4e51-ba81-489ed0677227</t>
  </si>
  <si>
    <t>102207b7-d53f-437b-a32a-ece670310189</t>
  </si>
  <si>
    <t>6a0a9576-7b36-43e4-8711-8c5caf3eed17</t>
  </si>
  <si>
    <t>6602bc99-0808-46de-88e9-096855bb6af9</t>
  </si>
  <si>
    <t>bc5e71aa-6f13-4568-895e-d819901ed229</t>
  </si>
  <si>
    <t>599f5d29-0bd6-482c-88c9-3771c54ce017</t>
  </si>
  <si>
    <t>68886a6d-fb4a-44b2-b92e-bce6d3b5ae13</t>
  </si>
  <si>
    <t>f5cdc7b5-c120-4433-8c8b-6293d949e9c4</t>
  </si>
  <si>
    <t>127ec74d-6fb4-4660-8a59-4aacbe2132aa</t>
  </si>
  <si>
    <t>b0311ddb-ce28-444b-812f-d73103a0c465</t>
  </si>
  <si>
    <t>7a517eb3-3b0b-42eb-8eb4-4e6603b19799</t>
  </si>
  <si>
    <t>5b18a849-2c55-4a34-b42a-a9cbbcb1d4bd</t>
  </si>
  <si>
    <t>25210981-c256-4dd7-a3ed-7d83b8754074</t>
  </si>
  <si>
    <t>6949f316-b7b6-42f9-953b-487ae7b45b66</t>
  </si>
  <si>
    <t>9a5386a7-8335-46da-891f-eb04846f40ac</t>
  </si>
  <si>
    <t>ec8f0af7-e6a9-468c-8231-aa2f86b78b05</t>
  </si>
  <si>
    <t>0e72fe72-a0e7-4073-bc66-3f36614d5aae</t>
  </si>
  <si>
    <t>c2d96775-ef23-40bc-9eec-bbe44e894cfc</t>
  </si>
  <si>
    <t>987281a3-86f7-45b4-b4c2-3365d3942908</t>
  </si>
  <si>
    <t>d229c526-92aa-4131-ab03-950a511990f1</t>
  </si>
  <si>
    <t>a8e90f1c-194f-42db-a54c-e680b85810dc</t>
  </si>
  <si>
    <t>aeb30c95-f609-4d53-90ac-49cb9b4cd2d8</t>
  </si>
  <si>
    <t>ee191a84-9754-495b-9d75-7edfb811c51f</t>
  </si>
  <si>
    <t>48ee36a2-7108-4b50-aec5-75690aac4cda</t>
  </si>
  <si>
    <t>5b4f71bd-55a1-4e0b-a8d9-4ee936ac928d</t>
  </si>
  <si>
    <t>d7bab2c1-966e-49ab-a2f1-5c24335f7fa1</t>
  </si>
  <si>
    <t>267112e8-e6ad-484a-8e63-6765c6dcc63a</t>
  </si>
  <si>
    <t>5321013e-f7d7-4a6e-9852-4f1eca609a9a</t>
  </si>
  <si>
    <t>c90faefe-e464-4b0b-b6f0-6092f08aa124</t>
  </si>
  <si>
    <t>39790fd9-a211-49b0-9f13-f8afab4815e2</t>
  </si>
  <si>
    <t>60b9117d-94ad-4a34-a797-dfa3aad58ce4</t>
  </si>
  <si>
    <t>11185f18-7730-4505-a119-244026159148</t>
  </si>
  <si>
    <t>387411b2-1799-453f-8152-4e8b30105be3</t>
  </si>
  <si>
    <t>e1cbde26-4ac5-4bc1-9232-85fa78488dd3</t>
  </si>
  <si>
    <t>301d66d6-d731-46bb-95fd-f6aa52b9ddf2</t>
  </si>
  <si>
    <t>0750bda5-ac52-497c-8c0d-bfb05aa581a8</t>
  </si>
  <si>
    <t>f2f880b7-c780-45ad-81dc-895a398e2ea9</t>
  </si>
  <si>
    <t>ba59c87e-5ec3-4991-bdd1-eef6e9f33ab4</t>
  </si>
  <si>
    <t>53fea8f1-13bf-4781-9e17-9c4c0aa6f444</t>
  </si>
  <si>
    <t>9a963963-2111-4f69-bce3-c59fab73d29c</t>
  </si>
  <si>
    <t>d196e78a-33d6-40a9-8760-ace4015d2c40</t>
  </si>
  <si>
    <t>94b5c3d3-abd2-4f52-95c3-02d6b7fbc4bd</t>
  </si>
  <si>
    <t>bbbd41fb-9aac-4901-9d15-e43312864f04</t>
  </si>
  <si>
    <t>6f510746-8503-4cf4-b0fe-b86e5b7c3626</t>
  </si>
  <si>
    <t>cf237661-05f7-45d1-a5af-d170f22f528d</t>
  </si>
  <si>
    <t>e8c99c26-1fd9-458a-a04d-a2df71bba778</t>
  </si>
  <si>
    <t>19ceb10d-c0c7-4265-8351-47dffe2cc216</t>
  </si>
  <si>
    <t>16962b7d-82b9-47b5-92a3-0173477c7507</t>
  </si>
  <si>
    <t>f31d7b77-3c4d-4780-8f6a-c9cd866bc09e</t>
  </si>
  <si>
    <t>3270aa29-08c9-43b0-850e-932117382cd0</t>
  </si>
  <si>
    <t>8d403e27-6aac-4a9e-84f4-570fde64e656</t>
  </si>
  <si>
    <t>7450b9d6-e067-4bd1-b227-35af5e24ee2c</t>
  </si>
  <si>
    <t>05d89c77-9588-4fdb-b890-43ab9f97cf37</t>
  </si>
  <si>
    <t>3946398e-9686-4dd4-8a5d-ce891d6bd5c4</t>
  </si>
  <si>
    <t>cca3c6e8-c4f1-4ad4-995e-dfc5f21d17a9</t>
  </si>
  <si>
    <t>02c4ca6f-b60b-44ce-a1ee-840d0a0af7f0</t>
  </si>
  <si>
    <t>8ceeeb54-462d-4d4b-a757-1bb275bff42e</t>
  </si>
  <si>
    <t>f9aaec98-e2ce-4ea2-8406-f821a50458bc</t>
  </si>
  <si>
    <t>5a761608-ee18-49d6-9ea5-62383a5ea995</t>
  </si>
  <si>
    <t>79230914-3209-4b41-82fc-792398aba2e0</t>
  </si>
  <si>
    <t>2355cd70-c6b9-40e4-b03b-d3c9c6912704</t>
  </si>
  <si>
    <t>d61ffd09-ff84-47cc-a131-2aad3eaa078d</t>
  </si>
  <si>
    <t>bb574cb8-c034-45c9-868c-70b791aef1e8</t>
  </si>
  <si>
    <t>e1a116c5-d0f1-484f-8f0d-5e9d581b6ea8</t>
  </si>
  <si>
    <t>6f5d95f5-5ad0-490f-a286-96d35596e922</t>
  </si>
  <si>
    <t>f8a15860-2fe8-438a-bf02-3c31af8c2658</t>
  </si>
  <si>
    <t>236f54cf-1e57-46af-b3a1-86c2c2a45706</t>
  </si>
  <si>
    <t>c4366ddb-e925-41ef-8cc9-94799217e438</t>
  </si>
  <si>
    <t>f364ad51-279c-4b43-b8fa-3aa94901ef04</t>
  </si>
  <si>
    <t>4564c5d9-d693-49be-8b41-d830c0e3a946</t>
  </si>
  <si>
    <t>5a8654b9-1e9e-4168-bbc1-98574fa5343d</t>
  </si>
  <si>
    <t>a44f04a3-81dc-4b2e-950a-3e92ae2b7edb</t>
  </si>
  <si>
    <t>b312bda1-e65c-4592-b58b-033ad4718767/9eac591b-cf2d-46f7-949c-8940732d73fe/68bf74b6-cf91-47ca-87f7-ccc6cbec9ef9</t>
  </si>
  <si>
    <t>755ceb3a-df2f-456f-84e0-8664f6b75170/3df2697d-2b6f-4981-a584-5dc323bfdb84/1f2da068-67ea-4aa0-bcae-9c95dcc28948/e17ca701-8954-424e-b6e6-f9cbce37ca91</t>
  </si>
  <si>
    <t>7497e934-33d8-4143-ac73-b75e9841cc85/4e145214-f40c-4cf3-b4aa-76e0c987ff49/6f37ba26-77e1-4105-8840-a3ca42c98c1e/91680d37-8e5c-4a01-ab95-85bd067a797b</t>
  </si>
  <si>
    <t>6b2c5ee8-d593-40ab-95e6-cd90c1a5f7c8/0b8bfbc4-adf6-4dac-b354-e81b05daf694/9dd92da4-21bc-4cf3-9abf-724a2481f1f1</t>
  </si>
  <si>
    <t>3fe3b2e7-bc78-42b7-aee2-d9e24a170873/a1acd0b7-df11-4b1f-b234-f22cc3494994/ae68412a-5504-4d74-8d80-1e7e95a44d9f/68cf43b0-06f8-4a86-a6fd-2bdaffc8f49f/fd511a28-80ea-4d12-973e-b1757195b278</t>
  </si>
  <si>
    <t>a0c72503-2297-47f4-bd8d-7a37ff05d946</t>
  </si>
  <si>
    <t>740db7a3-7b6c-4cee-9723-5699f1cae274</t>
  </si>
  <si>
    <t>48050e90-c2f6-4e52-b60b-5585a70cb843</t>
  </si>
  <si>
    <t>7ec733d7-b75d-4514-b3c1-b4d4ca099fd8</t>
  </si>
  <si>
    <t>2c06646f-73fc-48da-89e7-41e2b22ef1c5</t>
  </si>
  <si>
    <t>fb819aba-c5a1-4e80-89b1-bb9c5ab3d56d</t>
  </si>
  <si>
    <t>93def5cf-5532-41e7-ad3c-f84eba4358e0</t>
  </si>
  <si>
    <t>3d19976c-bd81-4b82-acc2-28e39e677a1c</t>
  </si>
  <si>
    <t>bc9b9a5b-9e70-431b-9d75-e00464af33b0</t>
  </si>
  <si>
    <t>95865c90-4fa3-4fed-af22-903dd501a3d4</t>
  </si>
  <si>
    <t>e24190b0-d427-4468-8e5f-9744e208e9cf</t>
  </si>
  <si>
    <t>cee6b70c-a22d-4837-bbbc-0937653e46df</t>
  </si>
  <si>
    <t>8f686fe2-f805-4f40-862e-afc297933791</t>
  </si>
  <si>
    <t>b8ed97f1-de90-4e85-8bdf-78bf4779ef14</t>
  </si>
  <si>
    <t>82ebaf4f-b89c-41cb-90af-85c9dd60aa8f</t>
  </si>
  <si>
    <t>fe450e0e-cb7f-4cda-baad-84da744ee9bf</t>
  </si>
  <si>
    <t>b6fe46d5-4e2b-4b89-81e8-a7ee813057b3</t>
  </si>
  <si>
    <t>23724a7c-420f-4ab6-b6cd-f354b939d8f0</t>
  </si>
  <si>
    <t>5ea51569-f26d-4827-b3c6-bb6b753e8688</t>
  </si>
  <si>
    <t>431ab11c-4574-448f-b018-f41ce6bb712b</t>
  </si>
  <si>
    <t>582bc0a3-045d-4480-94aa-7c040393a822</t>
  </si>
  <si>
    <t>88d473d9-487b-47d6-a0f0-9e75f0fb79ac</t>
  </si>
  <si>
    <t>ebb22de5-5f16-4a09-bbcb-6744e7742bca</t>
  </si>
  <si>
    <t>5725c8f6-595f-44b7-8bfa-2d109efa90c0</t>
  </si>
  <si>
    <t>c73bd40c-8461-4948-bb5b-fd34ff22a008</t>
  </si>
  <si>
    <t>f04e7e1f-d7f3-4523-893e-3d2b75dccc1f</t>
  </si>
  <si>
    <t>3d27ec7c-8c9b-4822-9747-aa3d89318d7c</t>
  </si>
  <si>
    <t>919913f6-3e0a-4582-b4ce-fdc8a4c6b4b5</t>
  </si>
  <si>
    <t>d4f56ecd-c1a9-4e64-9f36-1cd0ea16ba96</t>
  </si>
  <si>
    <t>dcc3eee7-cb4e-400c-a107-c6be3ce93678</t>
  </si>
  <si>
    <t>f2e45860-ab52-4dc6-8eae-9c5461e3eed0/cde3e453-454e-4efa-8d43-936c98de44d9</t>
  </si>
  <si>
    <t>27b819fd-0337-4f6b-bd3a-9c4e5610ba5e</t>
  </si>
  <si>
    <t>d610d0da-cb34-41e2-90ff-cb45a5524699/86da2591-82da-4317-84e3-ebcde14cdc72</t>
  </si>
  <si>
    <t>0adcf928-174e-4d6a-8ad9-5dd86b2b172a/ccda5a87-71cb-45d7-b5eb-3e31c2617fca</t>
  </si>
  <si>
    <t>a8b60a61-e18c-4dea-b65a-4d3437f3a9cb</t>
  </si>
  <si>
    <t>dbc10131-b5bb-442f-8a6c-5573e05925e6</t>
  </si>
  <si>
    <t>26320586-e7af-4abf-bd3a-bd8383359193/ba871a49-ba2a-4ef0-bcba-86559c28d894/0cf2ea39-c9ba-4cd9-8d37-bb8c1f4b689b</t>
  </si>
  <si>
    <t>241906bd-1a8a-460a-a00a-19ab1e7af0d9/c9afc5c0-8386-4ac7-ba16-b78795f4bc30/9046fec1-7211-4c22-bdc3-f28e5aff4f2a/dbdbbb8b-724e-4cb7-af3f-a8d4094d0b87/22df1bb1-c6ab-4788-8194-fd97d494e025/88b874bd-ab62-4b7a-bd51-73e100a39e72/b47fc196-8ca8-427b-90e5-e0e57af864b6</t>
  </si>
  <si>
    <t>6a4ed479-e158-4923-aa3a-551bae1a0caa</t>
  </si>
  <si>
    <t>dba20323-260d-46cb-a0ef-8e01b5ae1163</t>
  </si>
  <si>
    <t>602b97ea-4ff5-4532-acd7-8d4cc0a0aa01</t>
  </si>
  <si>
    <t>eb1fb494-48a4-4252-baab-0a5ebc29b41a/3def76a3-c0d3-4d2b-999f-c28d4adb2e8f/79086800-e2c6-4556-8f5d-c8162230c6e6</t>
  </si>
  <si>
    <t>a1553a2c-4959-4472-9e09-18c027f0da2b/c057d62b-f6d3-477c-b6ef-915eeb1431c0</t>
  </si>
  <si>
    <t>7cad5dca-95da-4782-9530-8fc735551c70</t>
  </si>
  <si>
    <t>5819ba24-1b9f-49dc-ad69-4a3012e33006</t>
  </si>
  <si>
    <t>38deba13-e30e-4ad2-927f-3d1c6e9206af</t>
  </si>
  <si>
    <t>41fdb2b5-37c8-468b-9949-3a01ee7c03d5</t>
  </si>
  <si>
    <t>f0e51753-4428-472a-880e-10184442b640</t>
  </si>
  <si>
    <t>ca461a38-1561-4f95-a900-d2a163237b16</t>
  </si>
  <si>
    <t>0eafe90c-73c7-431b-b6cf-e1e8e1f631be</t>
  </si>
  <si>
    <t>e4b04fcb-8d04-4c4b-98e2-2a24854beef0</t>
  </si>
  <si>
    <t>dafd6f9f-1cad-4736-944a-2935f3e7889b</t>
  </si>
  <si>
    <t>8c0d04c0-554e-4264-8582-c1532ad59e22</t>
  </si>
  <si>
    <t>ac31da94-ef59-4d8a-afa5-f8c361c2e62a</t>
  </si>
  <si>
    <t>474a0e43-0aa6-496f-aa4f-3bffdbd0c87f</t>
  </si>
  <si>
    <t>f69e7328-53ae-434c-8659-f3d091c31e37</t>
  </si>
  <si>
    <t>2c7b66b4-b5ba-42fc-a30d-0a5bd5719973</t>
  </si>
  <si>
    <t>7fd467d1-b40a-4da6-8d8e-f4adb0dc9a50</t>
  </si>
  <si>
    <t>b5d0311e-90e2-4718-9d4e-be010aa62555</t>
  </si>
  <si>
    <t>18e6393f-c146-41eb-bd3b-ee477c38f0bd</t>
  </si>
  <si>
    <t>f12c4ea6-78e2-4c16-815a-9e4b230ca2b6</t>
  </si>
  <si>
    <t>903139eb-2c53-4269-a9ea-22e753ac334e</t>
  </si>
  <si>
    <t>887e9edb-4efa-47cc-aa30-0126d33df596</t>
  </si>
  <si>
    <t>be39cff4-c291-4ed6-a904-a48ea19fe1e1</t>
  </si>
  <si>
    <t>dc090c7b-d8ee-44a1-92f1-dd4d0a5d17c1</t>
  </si>
  <si>
    <t>3fb71e76-64b7-45db-85c1-51674e1b35dd</t>
  </si>
  <si>
    <t>70f9213a-b097-4f03-8f79-5a860002ebe4</t>
  </si>
  <si>
    <t>0613be11-e30b-4977-ae02-2bf6ff40b7d4</t>
  </si>
  <si>
    <t>[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4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7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4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</t>
  </si>
  <si>
    <t>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4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1,38,0,0,0,0,0,0,0,0,0,0,0,0,0,0,0,0,0,0,0,0,0,0,0,0,0,0,0,0,0,0,0,0,0,0,0,0,0,0,0,0,0,0,0,0,0,0,0,0,0,0,0,0,0,0,0,0,0,0,0,0,0,0,0,0,0,0,0,0,0,0,0,0,0,4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1,38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</si>
  <si>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4,0,0,0,0,0,0,0,0,0,0,0,0,0,0,0,0,0,0,0,0,0,0,0,0,0,0,0,0,0,0,0,0,0,0,4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4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</t>
  </si>
  <si>
    <t>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1,12,0,0,0,0,0,0,0,0,0,0,0,0,0,0,0,0,0,0,0,0,0,0,0,0,0,0,0,0,0,4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7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</t>
  </si>
  <si>
    <t>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1,62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4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62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</t>
  </si>
  <si>
    <t>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15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</t>
  </si>
  <si>
    <t>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7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29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</si>
  <si>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4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</t>
  </si>
  <si>
    <t>,1,41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</t>
  </si>
  <si>
    <t>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7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25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</t>
  </si>
  <si>
    <t>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4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7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36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1,55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7,0,0,0,0,0,0,0,0,0,0,</t>
  </si>
  <si>
    <t>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55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7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88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83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</t>
  </si>
  <si>
    <t>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96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75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4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</t>
  </si>
  <si>
    <t>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47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1,82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2,0,0,0,0,0,0,0,0,0,0,0,0,0,0,4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2,2,0,0,0,0,0,0,0,0,0,0,0,0,0,0,0,0,0,0,0,0,0,0,0,0,0,0,0,0,0,0,0,0,0,0,0,0,0,0,0,0,0,0,0,0,0,0,0,0,0,0,0,0,0,0,0,0,0,0,0,0,0,0,0,0,0,0,0,0,0,0,0,0,0,0,0,0,0,0,0,0,0,0,0,0,0,0,0,0,0,0,0,0,0,0,0,0,0,0,0,0,0,0,0,2,0,0,0,2,0,0,0,0,4,0,0,0,0,0,0,0,0,0,0,0,0,0,0,0,0,0,0,0,0,0,0,0,0,0,0,0,0,0,0,0,0,0,0,0,0,0,0,0,0,0,0,0,0,0,0,0,0,0,0,0,0,0,0,0,0,0,0,0,0,0,0,0,0,0,0,0,0,0,0,0,0,0,0,0,0,0,0,0,0,0,0,0,0,0,0,0,0,0,0,0,0,0,0,0,0,0,2,0,0,0,2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2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2,5,0,0,0,0,0,0,0,0,0,0,0,0,0,0,0,0,0,0,0,0,0,0,0,0,0,0,0,0,0,0,0,0,0,0,0,0,0,0,0,0,0,0,0,0,0,0,0,0,0,0,0,0,0,0,0,0,0,0,0,0,0,0,0,0,0,0,0,0,0,0,0,0,0,0,0,0,0,0,0,0,0,0,0,0,0,0,0,0,0,0,0,0,0,0,0,0,0,0,2,5,0,0,0,0,0,0,0,0,0,0,0,0,0,0,0,0,0,0,0,0,0,0,0,0,0,0,0,0,0,0,0,0,0,0,0,0,0,0,0,0,0,0,0,0,0,0,0,0,0,0,0,0,0,0,0,0,0,0,0,0,0,0,0,0,0,0,0,0,0,0,0,0,0,0,0,0,0,0,0,0,0,0,0,0,0,0,0,0,0,0,0,0,0,0,0,0,0,2,5,0,0,0,0,0,0,0,0,0,0,0,0,0,0,0,0,0,0,0,0,0,0,0,0,0,0,0,0,0,0,0,0,0,0,0,0,0,0,0,0,0,0,0,0,0,0,0,0,0,0,0,0,0,0,0,0,0,0,0,0,0,0,0,0,0,0,0,0,0,0,0,0,0,0,0,0,0,0,0,0,0,0,0,0,0,0,0,0,0,0,0,0,0,0,0,0,2,5,0,0,0,0,0,0,0,0,0,0,0,0,0,0,0,0,0,0,0,0,0,0,0,0,0,0,0,0,0,0,0,0,0,0,0,0,0,0,0,0,0,0,0,0,0,0,0,0,0,0,0,0,0,0,0,0,0,0,0,0,0,0,0,0,0,0,0,0,0,0,0,0,0,0,0,0,0,0,0,0,0,0,0,0,0,0,0,0,0,0,0,0,0,0,0,2,5,0,0,0,0,0,0,0,0,0,0,0,0,0,0,0,0,0,0,0,0,0,0,0,0,0,0,0,0,0,0,0,0,0,0,0,0,0,0,0,0,0,0,0,0,0,0,0,0,0,0,0,0,0,0,0,0,0,0,0,0,0,0,0,0,0,0,0,0,0,0,0,0,0,0,0,0,0,0,0,0,0,0,0,0,0,0,0,0,0,0,0,0,0,0,2,5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7,0,0,0,0,0,0,0,0,0,0,0,0,0,0,0,0,0,0,0,0,0,0,0,0,0,0,0,0,0,0,0,0,0,0,3,11,0,0,0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0,3,11,0,0,0,0,0,0,0,0,0,0,0,0,0,0,0,0,0,0,0,0,0,0,0,0,0,0,0,0,0,0,0,0,0,0,0,0,0,0,0,0,0,0,0,0,0,0,0,0,0,0,0,0,0,0,0,0,0,0,0,0,0,0,0,0,0,0,0,0,0,0,3,11,0,0,0,0,0,0,0,0,0,0,0,0,0,0,0,0,0,0,0,0,0,0,0,0,0,0,0,0,0,0,0,0,0,0,0,0,0,0,4,0,0,0,0,0,0,0,0,0,0,0,0,0,0,0,0,0,0,0,0,0,0,0,0,0,0,0,0,0,0,3,11,0,0,0,0,0,0,0,0,0,0,0,0,0,0,0,0,0,0,0,0,0,0,0,0,0,0,0,0,0,0,0,0,0,0,0,0,0,0,0,0,0,0,0,0,0,0,0,0,0,0,0,0,0,0,0,0,0,0,0,0,0,0,0,0,0,0,0,0,3,11,0,0,0,0,0,0,0,0,0,0,0,0,0,0,0,0,0,0,0,0,0,0,0,0,0,0,0,0,0,0,0,0,0,0,0,0,0,0,0,0,0,0,0,0,0,0,0,0,0,0,0,0,0,0,0,0,0,0,0,0,0,0,0,0,0,0,0,3,11,0,0,0,0,0,0,0,0,0,0,3,11,0,0,0,0,0,0,0,0,0,0,0,0,0,0,0,0,0,0,0,0,0,0,0,0,0,0,0,0,0,0,0,0,0,0,0,0,0,0,0,0,0,0,0,0,0,0,0,0,0,0,0,0,0,0,0,3,11,0,0,0,0,0,0,0,0,0,0,0,0,0,0,0,0,0,0,0,0,0,0,0,0,0,0,0,0,0,0,0,0,0,0,0,0,0,0,0,0,0,0,0,0,0,0,0,0,0,0,0,0,0,0,0,0,0,0,0,0,0,0,0,0,0,3,11,0,0,0,0,0,0,0,0,0,0,0,0,0,0,0,0,0,0,0,0,0,0,0,0,0,0,0,0,0,0,0,0,0,0,0,0,0,0,0,0,0,0,0,0,0,0,0,0,0,0,0,0,0,0,0,0,0,0,0,0,0,0,0,0,3,11,0,0,0,0,0,0,0,0,0,0,0,0,0,0,0,0,0,0,0,0,0,0,0,0,0,0,0,0,0,0,0,0,0,0,0,0,0,0,0,0,0,0,0,0,0,0,0,0,0,0,0,0,0,0,0,0,0,0,0,0,0,0,0,3,11,0,0,0,0,0,0,0,0,0,0,0,0,0,0,0,0,0,0,0,0,0,0,0,0,0,0,0,0,0,0,0,0,0,0,0,0,0,0,0,0,0,0,0,0,0,0,0,0,0,0,0,0,0,0,0,0,0,0,0,0,0,0,3,11,0,0,0,0,0,0,0,0,0,0,0,0,0,0,0,0,0,0,0,0,0,0,0,0,0,0,0,0,0,0,0,0,0,0,0,0,0,0,0,0,0,0,0,0,0,0,0,0,0,0,0,0,0,0,0,0,0,0,0,0,0,3,11,0,0,0,0,0,0,0,0,0,0,0,0,0,0,0,0,0,0,0,0,0,0,0,0,0,0,0,0,0,0,0,0,0,0,0,0,0,0,0,0,0,0,0,0,0,0,0,0,0,0,0,0,0,0,0,0,0,0,0,0,3,11,0,0,0,0,0,0,0,0,0,0,0,0,0,0,0,0,0,0,0,0,0,0,0,0,0,0,0,0,0,0,0,0,0,0,0,0,0,0,0,0,0,0,0,0,0,0,0,0,0,0,0,0,0,0,0,0,0,0,0,3,11,0,0,0,0,0,0,0,0,0,0,0,0,0,0,0,0,0,0,0,0,0,0,0,0,0,0,0,0,0,0,0,0,0,0,0,0,0,0,0,0,0,0,0,0,0,0,0,0,0,0,0,0,0,0,0,0,0,0,3,11,0,0,0,0,0,0,0,0,0,0,0,0,0,0,0,0,0,0,0,0,0,0,0,0,0,0,0,0,0,0,0,0,0,0,0,0,0,0,0,0,0,0,0,0,0,0,0,0,0,0,0,0,0,0,0,0,0,3,11,0,0,0,0,0,0,0,0,0,0,0,0,0,0,0,0,0,0,0,0,0,0,0,0,0,0,0,0,0,0,0,0,0,0,0,0,0,0,0,0,0,0,0,0,0,0,0,0,0,0,0,0,0,0,0,0,0,0,0,0,0,0,0,0,0,0,0,0,0,0,0,0,0,0,0,0,0,0,0,0,0,0,0,0,0,0,0,0,0,0,0,0,0,0,0,0,0,0,0,0,0,0,0,0,0,0,0,0,0,0,0,0,3,11,0,0,0,0,0,0,0,0,0,0,0,0,0,0,0,0,0,0,0,0,0,0,0,0,0,0,0,0,0,0,0,0,0,0,0,0,0,0,0,0,0,0,0,0,0,0,0,0,0,0,0,0,0,0,3,11,0,0,0,0,0,0,0,0,0,0,0,0,0,0,0,0,0,0,0,0,0,0,0,0,0,0,0,0,0,0,0,0,0,0,0,0,0,0,0,0,0,0,0,0,0,0,0,0,0,0,0,0,0,3,11,0,0,0,0,0,0,0,0,0,0,0,0,0,0,0,0,0,0,0,0,0,0,0,0,0,0,0,0,0,0,0,0,0,0,0,0,0,0,0,0,0,0,0,0,0,0,0,0,0,0,0,0,3,11,0,0,0,0,0,0,0,0,0,0,0,0,0,0,0,0,0,0,0,0,0,0,0,0,0,0,0,0,0,0,0,0,0,0,0,0,0,0,0,0,0,0,0,0,0,0,0,0,0,0,0,3,11,0,0,0,0,0,0,0,0,0,0,0,0,0,0,0,0,0,0,0,0,0,0,0,0,0,0,0,0,0,0,0,0,0,0,0,0,0,0,0,0,0,0,0,0,0,0,0,0,0,0,3,11,0,0,0,0,0,0,0,0,0,0,0,0,0,0,0,0,0,0,0,0,0,0,0,0,0,0,0,0,0,0,0,0,0,0,0,0,0,0,0,0,0,0,0,0,0,0,0,0,0,3,11,0,0,0,0,0,0,0,0,0,0,0,0,0,0,0,0,0,0,0,0,0,0,0,0,0,0,0,0,0,0,0,0,0,0,0,0,0,0,0,0,0,0,0,0,0,0,0,0,3,11,0,0,0,0,0,0,0,0,0,0,0,0,0,0,0,0,0,0,0,0,0,0,0,0,0,0,0,0,0,0,0,0,0,0,0,0,0,0,0,0,0,0,0,0,0,0,0,0,0,0,0,0,0,0,0,0,0,0,0,0,0,0,0,0,0,0,0,0,0,0,0,0,0,0,0,0,0,0,0,0,0,0,0,0,0,0,0,0,0,0,0,0,0,0,2,78,0,0,0,0,0,0,0,0,0,0,0,0,0,0,0,0,0,0,0,0,0,0,0,0,0,0,0,0,0,0,0,0,0,0,0,0,0,0,0,0,0,0,0,0,0,2,78,0,0,0,0,0,0,0,0,0,0,0,0,0,0,0,0,0,0,0,0,0,0,0,0,0,0,0,0,0,0,0,0,0,0,0,0,0,0,0,0,0,0,0,0,2,78,0,0,0,0,0,0,0,0,0,0,0,0,0,0,0,0,0,0,0,0,0,0,0,0,0,0,0,0,0,0,0,0,0,0,0,0,0,0,0,0,0,0,0,2,78,0,0,0,0,0,0,0,0,0,0,0,0,0,0,0,0,0,0,0,0,0,0,0,0,0,0,0,0,0,0,0,0,0,0,0,0,0,0,0,0,0,0,0,0,0,0,2,78,0,0,0,0,0,0,0,0,0,0,0,0,0,0,0,0,0,0,0,0,0,0,0,0,0,0,0,0,0,0,0,0,0,0,0,0,0,2,78,0,0,0,0,0,0,0,0,0,0,0,0,0,0,0,0,0,0,0,0,0,0,0,0,0,0,0,0,0,0,0,0,0,0,0,0,0,0,0,0,2,78,0,0,0,0,0,0,0,0,0,0,0,0,0,0,0,0,0,0,0,0,0,0,0,0,0,0,0,0,0,0,0,0,0,0,0,0,0,0,0,2,78,0,0,0,0,0,0,0,0,0,0,0,0,0,0,0,0,0,0,0,0,0,0,0,0,0,0,0,0,0,0,0,0,0,0,0,0,0,0,2,78,0,0,0,0,0,0,0,0,0,0,0,0,0,0,0,0,0,0,0,0,0,0,0,0,0,0,0,0,0,0,0,0,0,0,0,0,0,2,78,0,0,0,0,0,0,0,0,0,0,0,0,0,0,0,0,0,0,0,0,0,0,0,0,0,0,0,0,0,0,0,0,0,0,0,0,2,78,0,0,0,0,0,0,0,0,0,0,0,0,0,0,0,0,0,0,0,0,0,0,0,0,0,0,0,0,0,0,0,0,0,0,0,2,78,0,0,0,0,0,0,0,0,0,0,0,0,0,0,0,0,0,0,0,0,0,0,0,0,0,0,0,0,0,0,0,0,0,0,2,78,0,0,0,0,0,0,0,0,0,0,0,0,0,0,0,0,0,0,0,0,0,0,0,0,0,0,0,0,0,0,0,0,0,2,78,0,0,0,0,0,0,0,0,0,0,0,0,0,0,0,0,0,0,0,0,0,0,0,0,0,0,0,0,0,0,0,0,2,78,0,0,0,0,0,0,0,0,0,0,0,0,0,0,0,0,0,0,0,0,0,0,0,0,0,0,0,0,0,0,0,2,78,0,0,0,0,0,0,0,0,0,0,0,0,0,0,0,0,0,0,0,0,0,0,0,0,0,0,0,0,0,0,2,78,0,0,0,0,0,0,0,0,0,0,0,0,0,0,0,0,0,0,0,0,0,0,0,0,0,0,0,0,0,2,78,0,0,0,0,0,0,0,0,0,0,0,0,0,0,0,0,0,0,0,0,0,0,0,0,0,0,0,0,2,78,0,0,0,0,0,0,0,0,0,0,0,0,0,0,0,0,0,0,0,0,0,0,0,0,0,0,0,2,78,0,0,0,0,0,0,0,0,0,0,0,0,0,0,0,0,0,0,0,0,0,0,0,0,0,0,2,78,0,0,0,0,0,0,0,0,0,0,0,0,0,0,0,0,0,0,0,0,0,0,0,0,0,2,78,0,0,0,0,0,0,0,0,0,0,0,0,0,0,0,0,0,0,0,0,0,0,0,0,2,78,0,0,0,0,0,0,0,0,0,0,0,0,0,0,0,0,0,0,0,0,0,0,0,2,78,0,0,0,0,0,0,0,0,0,0,0,0,0,0,0,0,0,0,0,0,0,0,2,78,0,0,0,0,0,0,0,0,0,0,0,0,0,0,0,0,0,0,0,0,0,2,78,0,0,0,0,0,0,0,0,0,0,0,0,0,0,0,0,0,0,0,0,2,78,0,0,2,78,0,0,0,0,0,0,0,0,0,0,0,0,0,0,0,0,2,78,0,0,2,78,0,0,0,0,0,0,0,0,0,0,0,0,0,0,0,2,78,0,0,2,78,0,0,0,0,0,0,0,0,0,0,0,0,0,0,0,0,0,2,78,0,0,0,0,0,0,0,0,0,0,0,0,0,2,78,0,0,2,78,0,0,0,0,0,0,0,0,0,0,0,0,2,78,0,0,2,78,0,0,0,0,0,0,0,0,0,0,0,2,78,0,0,2,78,0,0,0,0,0,0,0,0,0,0,2,78,0,0,2,78,0,0,0,0,0,0,0,0,0,2,78,0,0,2,78,0,0,0,0,0,0,0,0,2,78,0,0,2,78,0,0,0,0,0,0,0,2,78,0,0,2,78,0,0,0,0,0,0,2,78,0,0,2,78,0,0,0,0,0,2,78,0,0,2,78,0,0,0,0,2,78,0,0,2,78,0,0,0,2,78,0,0,2,78,0,0,2,78,0,0,2,78,0,2,78,0,0,0,2,78,0,0,2,78,0,2,78]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</si>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</sst>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0" applyNumberFormat="1" applyFill="1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164" fontId="2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Font="1" applyFill="1" applyBorder="1" applyAlignment="1" applyProtection="1"/>
    <xf numFmtId="164" fontId="0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93395"/>
      <color rgb="FF482038"/>
      <color rgb="FF006F43"/>
      <color rgb="FFFFB600"/>
      <color rgb="FF945200"/>
      <color rgb="FFEA7FE7"/>
      <color rgb="FFB742E9"/>
      <color rgb="FFE8C4F0"/>
      <color rgb="FFC79FEA"/>
      <color rgb="FF798A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V678"/>
  <sheetViews>
    <sheetView topLeftCell="K621" zoomScale="85" zoomScaleNormal="85" workbookViewId="0">
      <selection activeCell="L2" sqref="L2:M678"/>
    </sheetView>
  </sheetViews>
  <sheetFormatPr baseColWidth="10" defaultColWidth="10.85546875" defaultRowHeight="12.75" x14ac:dyDescent="0.2"/>
  <cols>
    <col min="1" max="1" width="18.28515625" style="4" bestFit="1" customWidth="1"/>
    <col min="2" max="2" width="38.85546875" style="2" bestFit="1" customWidth="1"/>
    <col min="3" max="3" width="13.42578125" style="4" bestFit="1" customWidth="1"/>
    <col min="4" max="4" width="35" style="2" bestFit="1" customWidth="1"/>
    <col min="5" max="5" width="115.140625" style="2" customWidth="1"/>
    <col min="6" max="6" width="35" style="2" customWidth="1"/>
    <col min="7" max="7" width="27.140625" style="4" customWidth="1"/>
    <col min="8" max="8" width="25.85546875" style="2" customWidth="1"/>
    <col min="9" max="9" width="76.28515625" style="2" customWidth="1"/>
    <col min="10" max="10" width="63" style="2" customWidth="1"/>
    <col min="11" max="11" width="73.7109375" style="2" customWidth="1"/>
    <col min="12" max="12" width="18" style="7" bestFit="1" customWidth="1"/>
    <col min="13" max="13" width="19.5703125" style="7" bestFit="1" customWidth="1"/>
    <col min="14" max="14" width="15.7109375" style="4" bestFit="1" customWidth="1"/>
    <col min="15" max="15" width="32.140625" style="4" bestFit="1" customWidth="1"/>
    <col min="16" max="16" width="34.140625" style="4" bestFit="1" customWidth="1"/>
    <col min="17" max="17" width="32.85546875" style="4" bestFit="1" customWidth="1"/>
    <col min="18" max="18" width="20.7109375" bestFit="1" customWidth="1"/>
    <col min="19" max="19" width="23.42578125" style="2" customWidth="1"/>
    <col min="20" max="16384" width="10.85546875" style="2"/>
  </cols>
  <sheetData>
    <row r="1" spans="1:18" x14ac:dyDescent="0.2">
      <c r="A1" s="4" t="s">
        <v>7</v>
      </c>
      <c r="B1" s="2" t="s">
        <v>0</v>
      </c>
      <c r="C1" s="4" t="s">
        <v>2</v>
      </c>
      <c r="D1" s="2" t="s">
        <v>3</v>
      </c>
      <c r="E1" s="2" t="s">
        <v>4</v>
      </c>
      <c r="F1" s="2" t="s">
        <v>14</v>
      </c>
      <c r="G1" s="4" t="s">
        <v>1372</v>
      </c>
      <c r="H1" s="2" t="s">
        <v>5</v>
      </c>
      <c r="I1" s="2" t="s">
        <v>6</v>
      </c>
      <c r="J1" s="2" t="s">
        <v>267</v>
      </c>
      <c r="K1" s="2" t="s">
        <v>1373</v>
      </c>
      <c r="L1" s="7" t="s">
        <v>1370</v>
      </c>
      <c r="M1" s="7" t="s">
        <v>1371</v>
      </c>
      <c r="N1" s="4" t="s">
        <v>2320</v>
      </c>
      <c r="O1" s="4" t="s">
        <v>2343</v>
      </c>
      <c r="P1" s="4" t="s">
        <v>2339</v>
      </c>
      <c r="Q1" s="4" t="s">
        <v>2340</v>
      </c>
      <c r="R1" t="s">
        <v>1468</v>
      </c>
    </row>
    <row r="2" spans="1:18" x14ac:dyDescent="0.2">
      <c r="A2" s="4">
        <v>10</v>
      </c>
      <c r="B2" s="2" t="s">
        <v>30</v>
      </c>
      <c r="C2" s="4" t="s">
        <v>91</v>
      </c>
      <c r="D2" s="2" t="s">
        <v>8</v>
      </c>
      <c r="E2" s="2" t="s">
        <v>31</v>
      </c>
      <c r="F2" s="2" t="s">
        <v>8</v>
      </c>
      <c r="G2" s="4">
        <f t="shared" ref="G2:G65" si="0">COUNTIF(F:F,F2)</f>
        <v>3</v>
      </c>
      <c r="I2" s="2" t="s">
        <v>2480</v>
      </c>
      <c r="J2" s="2" t="s">
        <v>9</v>
      </c>
      <c r="L2" s="7">
        <v>48.892187076399999</v>
      </c>
      <c r="M2" s="7">
        <v>2.2370180564000002</v>
      </c>
      <c r="N2" s="4" t="str">
        <f>VLOOKUP(C2,CHECKS!A:I,9,FALSE)</f>
        <v>#FFCD00</v>
      </c>
      <c r="O2" s="4">
        <f>VLOOKUP(C2,CHECKS!A:I,6,FALSE)</f>
        <v>1.5</v>
      </c>
      <c r="P2" s="4">
        <f>VLOOKUP(C2,CHECKS!A:I,7,FALSE)</f>
        <v>4</v>
      </c>
      <c r="Q2" s="4">
        <f>VLOOKUP(C2,CHECKS!A:I,8,FALSE)</f>
        <v>7</v>
      </c>
      <c r="R2">
        <v>0</v>
      </c>
    </row>
    <row r="3" spans="1:18" x14ac:dyDescent="0.2">
      <c r="A3" s="4">
        <v>20</v>
      </c>
      <c r="B3" s="2" t="s">
        <v>31</v>
      </c>
      <c r="C3" s="4" t="s">
        <v>91</v>
      </c>
      <c r="D3" s="2" t="s">
        <v>9</v>
      </c>
      <c r="E3" s="2" t="s">
        <v>55</v>
      </c>
      <c r="F3" s="2" t="s">
        <v>9</v>
      </c>
      <c r="G3" s="4">
        <f t="shared" si="0"/>
        <v>1</v>
      </c>
      <c r="J3" s="2" t="s">
        <v>78</v>
      </c>
      <c r="L3" s="7">
        <v>48.888631217799997</v>
      </c>
      <c r="M3" s="7">
        <v>2.2479324353200001</v>
      </c>
      <c r="N3" s="4" t="str">
        <f>VLOOKUP(C3,CHECKS!A:I,9,FALSE)</f>
        <v>#FFCD00</v>
      </c>
      <c r="O3" s="4">
        <f>VLOOKUP(C3,CHECKS!A:I,6,FALSE)</f>
        <v>1.5</v>
      </c>
      <c r="P3" s="4">
        <f>VLOOKUP(C3,CHECKS!A:I,7,FALSE)</f>
        <v>4</v>
      </c>
      <c r="Q3" s="4">
        <f>VLOOKUP(C3,CHECKS!A:I,8,FALSE)</f>
        <v>7</v>
      </c>
      <c r="R3">
        <v>1</v>
      </c>
    </row>
    <row r="4" spans="1:18" x14ac:dyDescent="0.2">
      <c r="A4" s="4">
        <v>30</v>
      </c>
      <c r="B4" s="2" t="s">
        <v>32</v>
      </c>
      <c r="C4" s="4" t="s">
        <v>91</v>
      </c>
      <c r="D4" s="2" t="s">
        <v>10</v>
      </c>
      <c r="E4" s="2" t="s">
        <v>56</v>
      </c>
      <c r="F4" s="2" t="s">
        <v>10</v>
      </c>
      <c r="G4" s="4">
        <f t="shared" si="0"/>
        <v>1</v>
      </c>
      <c r="J4" s="2" t="s">
        <v>79</v>
      </c>
      <c r="L4" s="7">
        <v>48.8847082013</v>
      </c>
      <c r="M4" s="7">
        <v>2.2605150778900001</v>
      </c>
      <c r="N4" s="4" t="str">
        <f>VLOOKUP(C4,CHECKS!A:I,9,FALSE)</f>
        <v>#FFCD00</v>
      </c>
      <c r="O4" s="4">
        <f>VLOOKUP(C4,CHECKS!A:I,6,FALSE)</f>
        <v>1.5</v>
      </c>
      <c r="P4" s="4">
        <f>VLOOKUP(C4,CHECKS!A:I,7,FALSE)</f>
        <v>4</v>
      </c>
      <c r="Q4" s="4">
        <f>VLOOKUP(C4,CHECKS!A:I,8,FALSE)</f>
        <v>7</v>
      </c>
      <c r="R4">
        <v>2</v>
      </c>
    </row>
    <row r="5" spans="1:18" x14ac:dyDescent="0.2">
      <c r="A5" s="4">
        <v>40</v>
      </c>
      <c r="B5" s="2" t="s">
        <v>33</v>
      </c>
      <c r="C5" s="4" t="s">
        <v>91</v>
      </c>
      <c r="D5" s="2" t="s">
        <v>11</v>
      </c>
      <c r="E5" s="2" t="s">
        <v>57</v>
      </c>
      <c r="F5" s="2" t="s">
        <v>11</v>
      </c>
      <c r="G5" s="4">
        <f t="shared" si="0"/>
        <v>1</v>
      </c>
      <c r="J5" s="2" t="s">
        <v>80</v>
      </c>
      <c r="L5" s="7">
        <v>48.881191520599998</v>
      </c>
      <c r="M5" s="7">
        <v>2.27168672105</v>
      </c>
      <c r="N5" s="4" t="str">
        <f>VLOOKUP(C5,CHECKS!A:I,9,FALSE)</f>
        <v>#FFCD00</v>
      </c>
      <c r="O5" s="4">
        <f>VLOOKUP(C5,CHECKS!A:I,6,FALSE)</f>
        <v>1.5</v>
      </c>
      <c r="P5" s="4">
        <f>VLOOKUP(C5,CHECKS!A:I,7,FALSE)</f>
        <v>4</v>
      </c>
      <c r="Q5" s="4">
        <f>VLOOKUP(C5,CHECKS!A:I,8,FALSE)</f>
        <v>7</v>
      </c>
      <c r="R5">
        <v>3</v>
      </c>
    </row>
    <row r="6" spans="1:18" x14ac:dyDescent="0.2">
      <c r="A6" s="4">
        <v>50</v>
      </c>
      <c r="B6" s="2" t="s">
        <v>34</v>
      </c>
      <c r="C6" s="4" t="s">
        <v>91</v>
      </c>
      <c r="D6" s="2" t="s">
        <v>12</v>
      </c>
      <c r="E6" s="2" t="s">
        <v>58</v>
      </c>
      <c r="F6" s="2" t="s">
        <v>12</v>
      </c>
      <c r="G6" s="4">
        <f t="shared" si="0"/>
        <v>1</v>
      </c>
      <c r="J6" s="2" t="s">
        <v>81</v>
      </c>
      <c r="L6" s="7">
        <v>48.8775512518</v>
      </c>
      <c r="M6" s="7">
        <v>2.28316224223</v>
      </c>
      <c r="N6" s="4" t="str">
        <f>VLOOKUP(C6,CHECKS!A:I,9,FALSE)</f>
        <v>#FFCD00</v>
      </c>
      <c r="O6" s="4">
        <f>VLOOKUP(C6,CHECKS!A:I,6,FALSE)</f>
        <v>1.5</v>
      </c>
      <c r="P6" s="4">
        <f>VLOOKUP(C6,CHECKS!A:I,7,FALSE)</f>
        <v>4</v>
      </c>
      <c r="Q6" s="4">
        <f>VLOOKUP(C6,CHECKS!A:I,8,FALSE)</f>
        <v>7</v>
      </c>
      <c r="R6">
        <v>4</v>
      </c>
    </row>
    <row r="7" spans="1:18" x14ac:dyDescent="0.2">
      <c r="A7" s="4">
        <v>60</v>
      </c>
      <c r="B7" s="2" t="s">
        <v>35</v>
      </c>
      <c r="C7" s="4" t="s">
        <v>91</v>
      </c>
      <c r="D7" s="2" t="s">
        <v>13</v>
      </c>
      <c r="E7" s="2" t="s">
        <v>59</v>
      </c>
      <c r="F7" s="2" t="s">
        <v>13</v>
      </c>
      <c r="G7" s="4">
        <f t="shared" si="0"/>
        <v>1</v>
      </c>
      <c r="J7" s="2" t="s">
        <v>99</v>
      </c>
      <c r="L7" s="7">
        <v>48.875594049900002</v>
      </c>
      <c r="M7" s="7">
        <v>2.2893225896099998</v>
      </c>
      <c r="N7" s="4" t="str">
        <f>VLOOKUP(C7,CHECKS!A:I,9,FALSE)</f>
        <v>#FFCD00</v>
      </c>
      <c r="O7" s="4">
        <f>VLOOKUP(C7,CHECKS!A:I,6,FALSE)</f>
        <v>1.5</v>
      </c>
      <c r="P7" s="4">
        <f>VLOOKUP(C7,CHECKS!A:I,7,FALSE)</f>
        <v>4</v>
      </c>
      <c r="Q7" s="4">
        <f>VLOOKUP(C7,CHECKS!A:I,8,FALSE)</f>
        <v>7</v>
      </c>
      <c r="R7">
        <v>5</v>
      </c>
    </row>
    <row r="8" spans="1:18" x14ac:dyDescent="0.2">
      <c r="A8" s="4">
        <v>70</v>
      </c>
      <c r="B8" s="2" t="s">
        <v>36</v>
      </c>
      <c r="C8" s="4" t="s">
        <v>91</v>
      </c>
      <c r="D8" s="2" t="s">
        <v>96</v>
      </c>
      <c r="E8" s="2" t="s">
        <v>60</v>
      </c>
      <c r="F8" s="2" t="s">
        <v>96</v>
      </c>
      <c r="G8" s="4">
        <f t="shared" si="0"/>
        <v>4</v>
      </c>
      <c r="H8" s="2" t="s">
        <v>1385</v>
      </c>
      <c r="I8" s="2" t="s">
        <v>2371</v>
      </c>
      <c r="J8" s="2" t="s">
        <v>82</v>
      </c>
      <c r="K8" s="2" t="s">
        <v>1434</v>
      </c>
      <c r="L8" s="7">
        <v>48.875149819699999</v>
      </c>
      <c r="M8" s="7">
        <v>2.2959049060800001</v>
      </c>
      <c r="N8" s="4" t="str">
        <f>VLOOKUP(C8,CHECKS!A:I,9,FALSE)</f>
        <v>#FFCD00</v>
      </c>
      <c r="O8" s="4">
        <f>VLOOKUP(C8,CHECKS!A:I,6,FALSE)</f>
        <v>1.5</v>
      </c>
      <c r="P8" s="4">
        <f>VLOOKUP(C8,CHECKS!A:I,7,FALSE)</f>
        <v>4</v>
      </c>
      <c r="Q8" s="4">
        <f>VLOOKUP(C8,CHECKS!A:I,8,FALSE)</f>
        <v>7</v>
      </c>
      <c r="R8">
        <v>6</v>
      </c>
    </row>
    <row r="9" spans="1:18" x14ac:dyDescent="0.2">
      <c r="A9" s="4">
        <v>80</v>
      </c>
      <c r="B9" s="2" t="s">
        <v>37</v>
      </c>
      <c r="C9" s="4" t="s">
        <v>91</v>
      </c>
      <c r="D9" s="2" t="s">
        <v>15</v>
      </c>
      <c r="E9" s="2" t="s">
        <v>61</v>
      </c>
      <c r="F9" s="2" t="s">
        <v>15</v>
      </c>
      <c r="G9" s="4">
        <f t="shared" si="0"/>
        <v>1</v>
      </c>
      <c r="J9" s="2" t="s">
        <v>102</v>
      </c>
      <c r="L9" s="7">
        <v>48.8720238095</v>
      </c>
      <c r="M9" s="7">
        <v>2.30056045125</v>
      </c>
      <c r="N9" s="4" t="str">
        <f>VLOOKUP(C9,CHECKS!A:I,9,FALSE)</f>
        <v>#FFCD00</v>
      </c>
      <c r="O9" s="4">
        <f>VLOOKUP(C9,CHECKS!A:I,6,FALSE)</f>
        <v>1.5</v>
      </c>
      <c r="P9" s="4">
        <f>VLOOKUP(C9,CHECKS!A:I,7,FALSE)</f>
        <v>4</v>
      </c>
      <c r="Q9" s="4">
        <f>VLOOKUP(C9,CHECKS!A:I,8,FALSE)</f>
        <v>7</v>
      </c>
      <c r="R9">
        <v>7</v>
      </c>
    </row>
    <row r="10" spans="1:18" x14ac:dyDescent="0.2">
      <c r="A10" s="4">
        <v>90</v>
      </c>
      <c r="B10" s="2" t="s">
        <v>38</v>
      </c>
      <c r="C10" s="4" t="s">
        <v>91</v>
      </c>
      <c r="D10" s="2" t="s">
        <v>16</v>
      </c>
      <c r="E10" s="2" t="s">
        <v>62</v>
      </c>
      <c r="F10" s="2" t="s">
        <v>16</v>
      </c>
      <c r="G10" s="4">
        <f t="shared" si="0"/>
        <v>2</v>
      </c>
      <c r="H10" s="2" t="s">
        <v>736</v>
      </c>
      <c r="J10" s="2" t="s">
        <v>101</v>
      </c>
      <c r="K10" s="2" t="s">
        <v>16</v>
      </c>
      <c r="L10" s="7">
        <v>48.869808220199999</v>
      </c>
      <c r="M10" s="7">
        <v>2.3074707934499998</v>
      </c>
      <c r="N10" s="4" t="str">
        <f>VLOOKUP(C10,CHECKS!A:I,9,FALSE)</f>
        <v>#FFCD00</v>
      </c>
      <c r="O10" s="4">
        <f>VLOOKUP(C10,CHECKS!A:I,6,FALSE)</f>
        <v>1.5</v>
      </c>
      <c r="P10" s="4">
        <f>VLOOKUP(C10,CHECKS!A:I,7,FALSE)</f>
        <v>4</v>
      </c>
      <c r="Q10" s="4">
        <f>VLOOKUP(C10,CHECKS!A:I,8,FALSE)</f>
        <v>7</v>
      </c>
      <c r="R10">
        <v>8</v>
      </c>
    </row>
    <row r="11" spans="1:18" x14ac:dyDescent="0.2">
      <c r="A11" s="4">
        <v>100</v>
      </c>
      <c r="B11" s="2" t="s">
        <v>39</v>
      </c>
      <c r="C11" s="4" t="s">
        <v>91</v>
      </c>
      <c r="D11" s="2" t="s">
        <v>95</v>
      </c>
      <c r="E11" s="2" t="s">
        <v>63</v>
      </c>
      <c r="F11" s="2" t="s">
        <v>95</v>
      </c>
      <c r="G11" s="4">
        <f t="shared" si="0"/>
        <v>2</v>
      </c>
      <c r="H11" s="2" t="s">
        <v>1028</v>
      </c>
      <c r="J11" s="2" t="s">
        <v>83</v>
      </c>
      <c r="K11" s="2" t="s">
        <v>95</v>
      </c>
      <c r="L11" s="7">
        <v>48.867905344900002</v>
      </c>
      <c r="M11" s="7">
        <v>2.3135455499500002</v>
      </c>
      <c r="N11" s="4" t="str">
        <f>VLOOKUP(C11,CHECKS!A:I,9,FALSE)</f>
        <v>#FFCD00</v>
      </c>
      <c r="O11" s="4">
        <f>VLOOKUP(C11,CHECKS!A:I,6,FALSE)</f>
        <v>1.5</v>
      </c>
      <c r="P11" s="4">
        <f>VLOOKUP(C11,CHECKS!A:I,7,FALSE)</f>
        <v>4</v>
      </c>
      <c r="Q11" s="4">
        <f>VLOOKUP(C11,CHECKS!A:I,8,FALSE)</f>
        <v>7</v>
      </c>
      <c r="R11">
        <v>9</v>
      </c>
    </row>
    <row r="12" spans="1:18" x14ac:dyDescent="0.2">
      <c r="A12" s="4">
        <v>110</v>
      </c>
      <c r="B12" s="2" t="s">
        <v>40</v>
      </c>
      <c r="C12" s="4" t="s">
        <v>91</v>
      </c>
      <c r="D12" s="2" t="s">
        <v>17</v>
      </c>
      <c r="E12" s="2" t="s">
        <v>64</v>
      </c>
      <c r="F12" s="2" t="s">
        <v>17</v>
      </c>
      <c r="G12" s="4">
        <f t="shared" si="0"/>
        <v>3</v>
      </c>
      <c r="H12" s="2" t="s">
        <v>1393</v>
      </c>
      <c r="J12" s="2" t="s">
        <v>100</v>
      </c>
      <c r="K12" s="2" t="s">
        <v>1435</v>
      </c>
      <c r="L12" s="7">
        <v>48.866285804599997</v>
      </c>
      <c r="M12" s="7">
        <v>2.3229434122399999</v>
      </c>
      <c r="N12" s="4" t="str">
        <f>VLOOKUP(C12,CHECKS!A:I,9,FALSE)</f>
        <v>#FFCD00</v>
      </c>
      <c r="O12" s="4">
        <f>VLOOKUP(C12,CHECKS!A:I,6,FALSE)</f>
        <v>1.5</v>
      </c>
      <c r="P12" s="4">
        <f>VLOOKUP(C12,CHECKS!A:I,7,FALSE)</f>
        <v>4</v>
      </c>
      <c r="Q12" s="4">
        <f>VLOOKUP(C12,CHECKS!A:I,8,FALSE)</f>
        <v>7</v>
      </c>
      <c r="R12">
        <v>10</v>
      </c>
    </row>
    <row r="13" spans="1:18" x14ac:dyDescent="0.2">
      <c r="A13" s="4">
        <v>120</v>
      </c>
      <c r="B13" s="2" t="s">
        <v>41</v>
      </c>
      <c r="C13" s="4" t="s">
        <v>91</v>
      </c>
      <c r="D13" s="2" t="s">
        <v>18</v>
      </c>
      <c r="E13" s="2" t="s">
        <v>65</v>
      </c>
      <c r="F13" s="2" t="s">
        <v>18</v>
      </c>
      <c r="G13" s="4">
        <f t="shared" si="0"/>
        <v>1</v>
      </c>
      <c r="J13" s="2" t="s">
        <v>1374</v>
      </c>
      <c r="L13" s="7">
        <v>48.864343778699997</v>
      </c>
      <c r="M13" s="7">
        <v>2.3301298771100001</v>
      </c>
      <c r="N13" s="4" t="str">
        <f>VLOOKUP(C13,CHECKS!A:I,9,FALSE)</f>
        <v>#FFCD00</v>
      </c>
      <c r="O13" s="4">
        <f>VLOOKUP(C13,CHECKS!A:I,6,FALSE)</f>
        <v>1.5</v>
      </c>
      <c r="P13" s="4">
        <f>VLOOKUP(C13,CHECKS!A:I,7,FALSE)</f>
        <v>4</v>
      </c>
      <c r="Q13" s="4">
        <f>VLOOKUP(C13,CHECKS!A:I,8,FALSE)</f>
        <v>7</v>
      </c>
      <c r="R13">
        <v>11</v>
      </c>
    </row>
    <row r="14" spans="1:18" x14ac:dyDescent="0.2">
      <c r="A14" s="4">
        <v>130</v>
      </c>
      <c r="B14" s="2" t="s">
        <v>42</v>
      </c>
      <c r="C14" s="4" t="s">
        <v>91</v>
      </c>
      <c r="D14" s="2" t="s">
        <v>97</v>
      </c>
      <c r="E14" s="2" t="s">
        <v>66</v>
      </c>
      <c r="F14" s="2" t="s">
        <v>97</v>
      </c>
      <c r="G14" s="4">
        <f t="shared" si="0"/>
        <v>2</v>
      </c>
      <c r="H14" s="2" t="s">
        <v>602</v>
      </c>
      <c r="J14" s="2" t="s">
        <v>107</v>
      </c>
      <c r="K14" s="2" t="s">
        <v>97</v>
      </c>
      <c r="L14" s="7">
        <v>48.8623480308</v>
      </c>
      <c r="M14" s="7">
        <v>2.33649646231</v>
      </c>
      <c r="N14" s="4" t="str">
        <f>VLOOKUP(C14,CHECKS!A:I,9,FALSE)</f>
        <v>#FFCD00</v>
      </c>
      <c r="O14" s="4">
        <f>VLOOKUP(C14,CHECKS!A:I,6,FALSE)</f>
        <v>1.5</v>
      </c>
      <c r="P14" s="4">
        <f>VLOOKUP(C14,CHECKS!A:I,7,FALSE)</f>
        <v>4</v>
      </c>
      <c r="Q14" s="4">
        <f>VLOOKUP(C14,CHECKS!A:I,8,FALSE)</f>
        <v>7</v>
      </c>
      <c r="R14">
        <v>12</v>
      </c>
    </row>
    <row r="15" spans="1:18" x14ac:dyDescent="0.2">
      <c r="A15" s="4">
        <v>140</v>
      </c>
      <c r="B15" s="2" t="s">
        <v>43</v>
      </c>
      <c r="C15" s="4" t="s">
        <v>91</v>
      </c>
      <c r="D15" s="2" t="s">
        <v>103</v>
      </c>
      <c r="E15" s="2" t="s">
        <v>67</v>
      </c>
      <c r="F15" s="2" t="s">
        <v>19</v>
      </c>
      <c r="G15" s="4">
        <f t="shared" si="0"/>
        <v>1</v>
      </c>
      <c r="J15" s="2" t="s">
        <v>1375</v>
      </c>
      <c r="L15" s="7">
        <v>48.860806291300001</v>
      </c>
      <c r="M15" s="7">
        <v>2.3411085916299998</v>
      </c>
      <c r="N15" s="4" t="str">
        <f>VLOOKUP(C15,CHECKS!A:I,9,FALSE)</f>
        <v>#FFCD00</v>
      </c>
      <c r="O15" s="4">
        <f>VLOOKUP(C15,CHECKS!A:I,6,FALSE)</f>
        <v>1.5</v>
      </c>
      <c r="P15" s="4">
        <f>VLOOKUP(C15,CHECKS!A:I,7,FALSE)</f>
        <v>4</v>
      </c>
      <c r="Q15" s="4">
        <f>VLOOKUP(C15,CHECKS!A:I,8,FALSE)</f>
        <v>7</v>
      </c>
      <c r="R15">
        <v>13</v>
      </c>
    </row>
    <row r="16" spans="1:18" x14ac:dyDescent="0.2">
      <c r="A16" s="4">
        <v>150</v>
      </c>
      <c r="B16" s="2" t="s">
        <v>44</v>
      </c>
      <c r="C16" s="4" t="s">
        <v>91</v>
      </c>
      <c r="D16" s="2" t="s">
        <v>20</v>
      </c>
      <c r="E16" s="2" t="s">
        <v>68</v>
      </c>
      <c r="F16" s="2" t="s">
        <v>20</v>
      </c>
      <c r="G16" s="4">
        <f t="shared" si="0"/>
        <v>7</v>
      </c>
      <c r="H16" s="2" t="s">
        <v>1388</v>
      </c>
      <c r="I16" s="2" t="s">
        <v>2569</v>
      </c>
      <c r="J16" s="2" t="s">
        <v>104</v>
      </c>
      <c r="K16" s="2" t="s">
        <v>1436</v>
      </c>
      <c r="L16" s="7">
        <v>48.858799198100002</v>
      </c>
      <c r="M16" s="7">
        <v>2.3473058527499999</v>
      </c>
      <c r="N16" s="4" t="str">
        <f>VLOOKUP(C16,CHECKS!A:I,9,FALSE)</f>
        <v>#FFCD00</v>
      </c>
      <c r="O16" s="4">
        <f>VLOOKUP(C16,CHECKS!A:I,6,FALSE)</f>
        <v>1.5</v>
      </c>
      <c r="P16" s="4">
        <f>VLOOKUP(C16,CHECKS!A:I,7,FALSE)</f>
        <v>4</v>
      </c>
      <c r="Q16" s="4">
        <f>VLOOKUP(C16,CHECKS!A:I,8,FALSE)</f>
        <v>7</v>
      </c>
      <c r="R16">
        <v>14</v>
      </c>
    </row>
    <row r="17" spans="1:18" x14ac:dyDescent="0.2">
      <c r="A17" s="4">
        <v>160</v>
      </c>
      <c r="B17" s="2" t="s">
        <v>45</v>
      </c>
      <c r="C17" s="4" t="s">
        <v>91</v>
      </c>
      <c r="D17" s="2" t="s">
        <v>21</v>
      </c>
      <c r="E17" s="2" t="s">
        <v>69</v>
      </c>
      <c r="F17" s="2" t="s">
        <v>21</v>
      </c>
      <c r="G17" s="4">
        <f t="shared" si="0"/>
        <v>2</v>
      </c>
      <c r="H17" s="2" t="s">
        <v>970</v>
      </c>
      <c r="J17" s="2" t="s">
        <v>84</v>
      </c>
      <c r="K17" s="2" t="s">
        <v>1087</v>
      </c>
      <c r="L17" s="7">
        <v>48.857477982500001</v>
      </c>
      <c r="M17" s="7">
        <v>2.3515775629900002</v>
      </c>
      <c r="N17" s="4" t="str">
        <f>VLOOKUP(C17,CHECKS!A:I,9,FALSE)</f>
        <v>#FFCD00</v>
      </c>
      <c r="O17" s="4">
        <f>VLOOKUP(C17,CHECKS!A:I,6,FALSE)</f>
        <v>1.5</v>
      </c>
      <c r="P17" s="4">
        <f>VLOOKUP(C17,CHECKS!A:I,7,FALSE)</f>
        <v>4</v>
      </c>
      <c r="Q17" s="4">
        <f>VLOOKUP(C17,CHECKS!A:I,8,FALSE)</f>
        <v>7</v>
      </c>
      <c r="R17">
        <v>15</v>
      </c>
    </row>
    <row r="18" spans="1:18" x14ac:dyDescent="0.2">
      <c r="A18" s="4">
        <v>170</v>
      </c>
      <c r="B18" s="2" t="s">
        <v>46</v>
      </c>
      <c r="C18" s="4" t="s">
        <v>91</v>
      </c>
      <c r="D18" s="2" t="s">
        <v>22</v>
      </c>
      <c r="E18" s="2" t="s">
        <v>70</v>
      </c>
      <c r="F18" s="2" t="s">
        <v>22</v>
      </c>
      <c r="G18" s="4">
        <f t="shared" si="0"/>
        <v>1</v>
      </c>
      <c r="J18" s="2" t="s">
        <v>85</v>
      </c>
      <c r="L18" s="7">
        <v>48.855236252799997</v>
      </c>
      <c r="M18" s="7">
        <v>2.3609564886599999</v>
      </c>
      <c r="N18" s="4" t="str">
        <f>VLOOKUP(C18,CHECKS!A:I,9,FALSE)</f>
        <v>#FFCD00</v>
      </c>
      <c r="O18" s="4">
        <f>VLOOKUP(C18,CHECKS!A:I,6,FALSE)</f>
        <v>1.5</v>
      </c>
      <c r="P18" s="4">
        <f>VLOOKUP(C18,CHECKS!A:I,7,FALSE)</f>
        <v>4</v>
      </c>
      <c r="Q18" s="4">
        <f>VLOOKUP(C18,CHECKS!A:I,8,FALSE)</f>
        <v>7</v>
      </c>
      <c r="R18">
        <v>16</v>
      </c>
    </row>
    <row r="19" spans="1:18" x14ac:dyDescent="0.2">
      <c r="A19" s="4">
        <v>180</v>
      </c>
      <c r="B19" s="2" t="s">
        <v>47</v>
      </c>
      <c r="C19" s="4" t="s">
        <v>91</v>
      </c>
      <c r="D19" s="2" t="s">
        <v>23</v>
      </c>
      <c r="E19" s="2" t="s">
        <v>71</v>
      </c>
      <c r="F19" s="2" t="s">
        <v>23</v>
      </c>
      <c r="G19" s="4">
        <f t="shared" si="0"/>
        <v>3</v>
      </c>
      <c r="H19" s="2" t="s">
        <v>1382</v>
      </c>
      <c r="J19" s="2" t="s">
        <v>86</v>
      </c>
      <c r="K19" s="2" t="s">
        <v>1437</v>
      </c>
      <c r="L19" s="7">
        <v>48.852479422800002</v>
      </c>
      <c r="M19" s="7">
        <v>2.3693205849300001</v>
      </c>
      <c r="N19" s="4" t="str">
        <f>VLOOKUP(C19,CHECKS!A:I,9,FALSE)</f>
        <v>#FFCD00</v>
      </c>
      <c r="O19" s="4">
        <f>VLOOKUP(C19,CHECKS!A:I,6,FALSE)</f>
        <v>1.5</v>
      </c>
      <c r="P19" s="4">
        <f>VLOOKUP(C19,CHECKS!A:I,7,FALSE)</f>
        <v>4</v>
      </c>
      <c r="Q19" s="4">
        <f>VLOOKUP(C19,CHECKS!A:I,8,FALSE)</f>
        <v>7</v>
      </c>
      <c r="R19">
        <v>17</v>
      </c>
    </row>
    <row r="20" spans="1:18" x14ac:dyDescent="0.2">
      <c r="A20" s="4">
        <v>190</v>
      </c>
      <c r="B20" s="2" t="s">
        <v>48</v>
      </c>
      <c r="C20" s="4" t="s">
        <v>91</v>
      </c>
      <c r="D20" s="2" t="s">
        <v>24</v>
      </c>
      <c r="E20" s="2" t="s">
        <v>72</v>
      </c>
      <c r="F20" s="2" t="s">
        <v>24</v>
      </c>
      <c r="G20" s="4">
        <f t="shared" si="0"/>
        <v>3</v>
      </c>
      <c r="H20" s="2" t="s">
        <v>1045</v>
      </c>
      <c r="I20" s="2" t="s">
        <v>2374</v>
      </c>
      <c r="J20" s="2" t="s">
        <v>105</v>
      </c>
      <c r="K20" s="2" t="s">
        <v>24</v>
      </c>
      <c r="L20" s="7">
        <v>48.8460276494</v>
      </c>
      <c r="M20" s="7">
        <v>2.3749629188700001</v>
      </c>
      <c r="N20" s="4" t="str">
        <f>VLOOKUP(C20,CHECKS!A:I,9,FALSE)</f>
        <v>#FFCD00</v>
      </c>
      <c r="O20" s="4">
        <f>VLOOKUP(C20,CHECKS!A:I,6,FALSE)</f>
        <v>1.5</v>
      </c>
      <c r="P20" s="4">
        <f>VLOOKUP(C20,CHECKS!A:I,7,FALSE)</f>
        <v>4</v>
      </c>
      <c r="Q20" s="4">
        <f>VLOOKUP(C20,CHECKS!A:I,8,FALSE)</f>
        <v>7</v>
      </c>
      <c r="R20">
        <v>18</v>
      </c>
    </row>
    <row r="21" spans="1:18" x14ac:dyDescent="0.2">
      <c r="A21" s="4">
        <v>200</v>
      </c>
      <c r="B21" s="2" t="s">
        <v>49</v>
      </c>
      <c r="C21" s="4" t="s">
        <v>91</v>
      </c>
      <c r="D21" s="2" t="s">
        <v>98</v>
      </c>
      <c r="E21" s="2" t="s">
        <v>73</v>
      </c>
      <c r="F21" s="2" t="s">
        <v>98</v>
      </c>
      <c r="G21" s="4">
        <f t="shared" si="0"/>
        <v>2</v>
      </c>
      <c r="H21" s="2" t="s">
        <v>707</v>
      </c>
      <c r="J21" s="2" t="s">
        <v>87</v>
      </c>
      <c r="K21" s="2" t="s">
        <v>98</v>
      </c>
      <c r="L21" s="7">
        <v>48.847303786099999</v>
      </c>
      <c r="M21" s="7">
        <v>2.3863417063500001</v>
      </c>
      <c r="N21" s="4" t="str">
        <f>VLOOKUP(C21,CHECKS!A:I,9,FALSE)</f>
        <v>#FFCD00</v>
      </c>
      <c r="O21" s="4">
        <f>VLOOKUP(C21,CHECKS!A:I,6,FALSE)</f>
        <v>1.5</v>
      </c>
      <c r="P21" s="4">
        <f>VLOOKUP(C21,CHECKS!A:I,7,FALSE)</f>
        <v>4</v>
      </c>
      <c r="Q21" s="4">
        <f>VLOOKUP(C21,CHECKS!A:I,8,FALSE)</f>
        <v>7</v>
      </c>
      <c r="R21">
        <v>19</v>
      </c>
    </row>
    <row r="22" spans="1:18" x14ac:dyDescent="0.2">
      <c r="A22" s="4">
        <v>210</v>
      </c>
      <c r="B22" s="2" t="s">
        <v>50</v>
      </c>
      <c r="C22" s="4" t="s">
        <v>91</v>
      </c>
      <c r="D22" s="2" t="s">
        <v>25</v>
      </c>
      <c r="E22" s="2" t="s">
        <v>74</v>
      </c>
      <c r="F22" s="2" t="s">
        <v>25</v>
      </c>
      <c r="G22" s="4">
        <f t="shared" si="0"/>
        <v>5</v>
      </c>
      <c r="H22" s="2" t="s">
        <v>1410</v>
      </c>
      <c r="I22" s="2" t="s">
        <v>2375</v>
      </c>
      <c r="J22" s="2" t="s">
        <v>106</v>
      </c>
      <c r="K22" s="2" t="s">
        <v>1438</v>
      </c>
      <c r="L22" s="7">
        <v>48.847579367500003</v>
      </c>
      <c r="M22" s="7">
        <v>2.3955545121699999</v>
      </c>
      <c r="N22" s="4" t="str">
        <f>VLOOKUP(C22,CHECKS!A:I,9,FALSE)</f>
        <v>#FFCD00</v>
      </c>
      <c r="O22" s="4">
        <f>VLOOKUP(C22,CHECKS!A:I,6,FALSE)</f>
        <v>1.5</v>
      </c>
      <c r="P22" s="4">
        <f>VLOOKUP(C22,CHECKS!A:I,7,FALSE)</f>
        <v>4</v>
      </c>
      <c r="Q22" s="4">
        <f>VLOOKUP(C22,CHECKS!A:I,8,FALSE)</f>
        <v>7</v>
      </c>
      <c r="R22">
        <v>20</v>
      </c>
    </row>
    <row r="23" spans="1:18" x14ac:dyDescent="0.2">
      <c r="A23" s="4">
        <v>220</v>
      </c>
      <c r="B23" s="2" t="s">
        <v>51</v>
      </c>
      <c r="C23" s="4" t="s">
        <v>91</v>
      </c>
      <c r="D23" s="2" t="s">
        <v>26</v>
      </c>
      <c r="E23" s="2" t="s">
        <v>75</v>
      </c>
      <c r="F23" s="2" t="s">
        <v>26</v>
      </c>
      <c r="G23" s="4">
        <f t="shared" si="0"/>
        <v>3</v>
      </c>
      <c r="I23" s="2" t="s">
        <v>2205</v>
      </c>
      <c r="J23" s="2" t="s">
        <v>88</v>
      </c>
      <c r="L23" s="7">
        <v>48.847158479400001</v>
      </c>
      <c r="M23" s="7">
        <v>2.41014036797</v>
      </c>
      <c r="N23" s="4" t="str">
        <f>VLOOKUP(C23,CHECKS!A:I,9,FALSE)</f>
        <v>#FFCD00</v>
      </c>
      <c r="O23" s="4">
        <f>VLOOKUP(C23,CHECKS!A:I,6,FALSE)</f>
        <v>1.5</v>
      </c>
      <c r="P23" s="4">
        <f>VLOOKUP(C23,CHECKS!A:I,7,FALSE)</f>
        <v>4</v>
      </c>
      <c r="Q23" s="4">
        <f>VLOOKUP(C23,CHECKS!A:I,8,FALSE)</f>
        <v>7</v>
      </c>
      <c r="R23">
        <v>21</v>
      </c>
    </row>
    <row r="24" spans="1:18" x14ac:dyDescent="0.2">
      <c r="A24" s="4">
        <v>230</v>
      </c>
      <c r="B24" s="2" t="s">
        <v>52</v>
      </c>
      <c r="C24" s="4" t="s">
        <v>91</v>
      </c>
      <c r="D24" s="2" t="s">
        <v>27</v>
      </c>
      <c r="E24" s="2" t="s">
        <v>76</v>
      </c>
      <c r="F24" s="2" t="s">
        <v>27</v>
      </c>
      <c r="G24" s="4">
        <f t="shared" si="0"/>
        <v>1</v>
      </c>
      <c r="J24" s="2" t="s">
        <v>89</v>
      </c>
      <c r="L24" s="7">
        <v>48.846356988899998</v>
      </c>
      <c r="M24" s="7">
        <v>2.4194799003699998</v>
      </c>
      <c r="N24" s="4" t="str">
        <f>VLOOKUP(C24,CHECKS!A:I,9,FALSE)</f>
        <v>#FFCD00</v>
      </c>
      <c r="O24" s="4">
        <f>VLOOKUP(C24,CHECKS!A:I,6,FALSE)</f>
        <v>1.5</v>
      </c>
      <c r="P24" s="4">
        <f>VLOOKUP(C24,CHECKS!A:I,7,FALSE)</f>
        <v>4</v>
      </c>
      <c r="Q24" s="4">
        <f>VLOOKUP(C24,CHECKS!A:I,8,FALSE)</f>
        <v>7</v>
      </c>
      <c r="R24">
        <v>22</v>
      </c>
    </row>
    <row r="25" spans="1:18" x14ac:dyDescent="0.2">
      <c r="A25" s="4">
        <v>240</v>
      </c>
      <c r="B25" s="2" t="s">
        <v>53</v>
      </c>
      <c r="C25" s="4" t="s">
        <v>91</v>
      </c>
      <c r="D25" s="2" t="s">
        <v>28</v>
      </c>
      <c r="E25" s="2" t="s">
        <v>77</v>
      </c>
      <c r="F25" s="2" t="s">
        <v>28</v>
      </c>
      <c r="G25" s="4">
        <f t="shared" si="0"/>
        <v>1</v>
      </c>
      <c r="J25" s="2" t="s">
        <v>90</v>
      </c>
      <c r="L25" s="7">
        <v>48.845470707600001</v>
      </c>
      <c r="M25" s="7">
        <v>2.4292051663500001</v>
      </c>
      <c r="N25" s="4" t="str">
        <f>VLOOKUP(C25,CHECKS!A:I,9,FALSE)</f>
        <v>#FFCD00</v>
      </c>
      <c r="O25" s="4">
        <f>VLOOKUP(C25,CHECKS!A:I,6,FALSE)</f>
        <v>1.5</v>
      </c>
      <c r="P25" s="4">
        <f>VLOOKUP(C25,CHECKS!A:I,7,FALSE)</f>
        <v>4</v>
      </c>
      <c r="Q25" s="4">
        <f>VLOOKUP(C25,CHECKS!A:I,8,FALSE)</f>
        <v>7</v>
      </c>
      <c r="R25">
        <v>23</v>
      </c>
    </row>
    <row r="26" spans="1:18" x14ac:dyDescent="0.2">
      <c r="A26" s="4">
        <v>250</v>
      </c>
      <c r="B26" s="2" t="s">
        <v>54</v>
      </c>
      <c r="C26" s="4" t="s">
        <v>91</v>
      </c>
      <c r="D26" s="2" t="s">
        <v>29</v>
      </c>
      <c r="E26" s="2" t="s">
        <v>53</v>
      </c>
      <c r="F26" s="2" t="s">
        <v>29</v>
      </c>
      <c r="G26" s="4">
        <f t="shared" si="0"/>
        <v>1</v>
      </c>
      <c r="J26" s="2" t="s">
        <v>28</v>
      </c>
      <c r="L26" s="7">
        <v>48.844456394600002</v>
      </c>
      <c r="M26" s="7">
        <v>2.4404399780600001</v>
      </c>
      <c r="N26" s="4" t="str">
        <f>VLOOKUP(C26,CHECKS!A:I,9,FALSE)</f>
        <v>#FFCD00</v>
      </c>
      <c r="O26" s="4">
        <f>VLOOKUP(C26,CHECKS!A:I,6,FALSE)</f>
        <v>1.5</v>
      </c>
      <c r="P26" s="4">
        <f>VLOOKUP(C26,CHECKS!A:I,7,FALSE)</f>
        <v>4</v>
      </c>
      <c r="Q26" s="4">
        <f>VLOOKUP(C26,CHECKS!A:I,8,FALSE)</f>
        <v>7</v>
      </c>
      <c r="R26">
        <v>24</v>
      </c>
    </row>
    <row r="27" spans="1:18" x14ac:dyDescent="0.2">
      <c r="A27" s="4">
        <v>260</v>
      </c>
      <c r="B27" s="2" t="s">
        <v>131</v>
      </c>
      <c r="C27" s="4" t="s">
        <v>92</v>
      </c>
      <c r="D27" s="2" t="s">
        <v>108</v>
      </c>
      <c r="E27" s="2" t="s">
        <v>132</v>
      </c>
      <c r="F27" s="2" t="s">
        <v>108</v>
      </c>
      <c r="G27" s="4">
        <f t="shared" si="0"/>
        <v>1</v>
      </c>
      <c r="J27" s="2" t="s">
        <v>109</v>
      </c>
      <c r="L27" s="7">
        <v>48.871466578099998</v>
      </c>
      <c r="M27" s="7">
        <v>2.2770830170499998</v>
      </c>
      <c r="N27" s="4" t="str">
        <f>VLOOKUP(C27,CHECKS!A:I,9,FALSE)</f>
        <v>#003CA6</v>
      </c>
      <c r="O27" s="4">
        <f>VLOOKUP(C27,CHECKS!A:I,6,FALSE)</f>
        <v>1.38</v>
      </c>
      <c r="P27" s="4">
        <f>VLOOKUP(C27,CHECKS!A:I,7,FALSE)</f>
        <v>4</v>
      </c>
      <c r="Q27" s="4">
        <f>VLOOKUP(C27,CHECKS!A:I,8,FALSE)</f>
        <v>7</v>
      </c>
      <c r="R27">
        <v>25</v>
      </c>
    </row>
    <row r="28" spans="1:18" x14ac:dyDescent="0.2">
      <c r="A28" s="4">
        <v>270</v>
      </c>
      <c r="B28" s="2" t="s">
        <v>132</v>
      </c>
      <c r="C28" s="4" t="s">
        <v>92</v>
      </c>
      <c r="D28" s="2" t="s">
        <v>109</v>
      </c>
      <c r="E28" s="2" t="s">
        <v>156</v>
      </c>
      <c r="F28" s="2" t="s">
        <v>109</v>
      </c>
      <c r="G28" s="4">
        <f t="shared" si="0"/>
        <v>1</v>
      </c>
      <c r="J28" s="2" t="s">
        <v>179</v>
      </c>
      <c r="L28" s="7">
        <v>48.869798556500001</v>
      </c>
      <c r="M28" s="7">
        <v>2.2853350946900002</v>
      </c>
      <c r="N28" s="4" t="str">
        <f>VLOOKUP(C28,CHECKS!A:I,9,FALSE)</f>
        <v>#003CA6</v>
      </c>
      <c r="O28" s="4">
        <f>VLOOKUP(C28,CHECKS!A:I,6,FALSE)</f>
        <v>1.38</v>
      </c>
      <c r="P28" s="4">
        <f>VLOOKUP(C28,CHECKS!A:I,7,FALSE)</f>
        <v>4</v>
      </c>
      <c r="Q28" s="4">
        <f>VLOOKUP(C28,CHECKS!A:I,8,FALSE)</f>
        <v>7</v>
      </c>
      <c r="R28">
        <v>26</v>
      </c>
    </row>
    <row r="29" spans="1:18" x14ac:dyDescent="0.2">
      <c r="A29" s="4">
        <v>280</v>
      </c>
      <c r="B29" s="2" t="s">
        <v>133</v>
      </c>
      <c r="C29" s="4" t="s">
        <v>92</v>
      </c>
      <c r="D29" s="2" t="s">
        <v>96</v>
      </c>
      <c r="E29" s="2" t="s">
        <v>157</v>
      </c>
      <c r="F29" s="2" t="s">
        <v>96</v>
      </c>
      <c r="G29" s="4">
        <f t="shared" si="0"/>
        <v>4</v>
      </c>
      <c r="H29" s="2" t="s">
        <v>1386</v>
      </c>
      <c r="I29" s="2" t="s">
        <v>2371</v>
      </c>
      <c r="J29" s="2" t="s">
        <v>180</v>
      </c>
      <c r="K29" s="2" t="s">
        <v>1434</v>
      </c>
      <c r="L29" s="7">
        <v>48.874613926999999</v>
      </c>
      <c r="M29" s="7">
        <v>2.2955673697500001</v>
      </c>
      <c r="N29" s="4" t="str">
        <f>VLOOKUP(C29,CHECKS!A:I,9,FALSE)</f>
        <v>#003CA6</v>
      </c>
      <c r="O29" s="4">
        <f>VLOOKUP(C29,CHECKS!A:I,6,FALSE)</f>
        <v>1.38</v>
      </c>
      <c r="P29" s="4">
        <f>VLOOKUP(C29,CHECKS!A:I,7,FALSE)</f>
        <v>4</v>
      </c>
      <c r="Q29" s="4">
        <f>VLOOKUP(C29,CHECKS!A:I,8,FALSE)</f>
        <v>7</v>
      </c>
      <c r="R29">
        <v>27</v>
      </c>
    </row>
    <row r="30" spans="1:18" x14ac:dyDescent="0.2">
      <c r="A30" s="4">
        <v>290</v>
      </c>
      <c r="B30" s="2" t="s">
        <v>134</v>
      </c>
      <c r="C30" s="4" t="s">
        <v>92</v>
      </c>
      <c r="D30" s="2" t="s">
        <v>110</v>
      </c>
      <c r="E30" s="2" t="s">
        <v>158</v>
      </c>
      <c r="F30" s="2" t="s">
        <v>110</v>
      </c>
      <c r="G30" s="4">
        <f t="shared" si="0"/>
        <v>1</v>
      </c>
      <c r="J30" s="2" t="s">
        <v>181</v>
      </c>
      <c r="L30" s="7">
        <v>48.877972701399997</v>
      </c>
      <c r="M30" s="7">
        <v>2.2983103751199998</v>
      </c>
      <c r="N30" s="4" t="str">
        <f>VLOOKUP(C30,CHECKS!A:I,9,FALSE)</f>
        <v>#003CA6</v>
      </c>
      <c r="O30" s="4">
        <f>VLOOKUP(C30,CHECKS!A:I,6,FALSE)</f>
        <v>1.38</v>
      </c>
      <c r="P30" s="4">
        <f>VLOOKUP(C30,CHECKS!A:I,7,FALSE)</f>
        <v>4</v>
      </c>
      <c r="Q30" s="4">
        <f>VLOOKUP(C30,CHECKS!A:I,8,FALSE)</f>
        <v>7</v>
      </c>
      <c r="R30">
        <v>28</v>
      </c>
    </row>
    <row r="31" spans="1:18" x14ac:dyDescent="0.2">
      <c r="A31" s="4">
        <v>300</v>
      </c>
      <c r="B31" s="2" t="s">
        <v>135</v>
      </c>
      <c r="C31" s="4" t="s">
        <v>92</v>
      </c>
      <c r="D31" s="2" t="s">
        <v>111</v>
      </c>
      <c r="E31" s="2" t="s">
        <v>159</v>
      </c>
      <c r="F31" s="2" t="s">
        <v>111</v>
      </c>
      <c r="G31" s="4">
        <f t="shared" si="0"/>
        <v>1</v>
      </c>
      <c r="J31" s="2" t="s">
        <v>182</v>
      </c>
      <c r="L31" s="7">
        <v>48.879214134199998</v>
      </c>
      <c r="M31" s="7">
        <v>2.3035287253700001</v>
      </c>
      <c r="N31" s="4" t="str">
        <f>VLOOKUP(C31,CHECKS!A:I,9,FALSE)</f>
        <v>#003CA6</v>
      </c>
      <c r="O31" s="4">
        <f>VLOOKUP(C31,CHECKS!A:I,6,FALSE)</f>
        <v>1.38</v>
      </c>
      <c r="P31" s="4">
        <f>VLOOKUP(C31,CHECKS!A:I,7,FALSE)</f>
        <v>4</v>
      </c>
      <c r="Q31" s="4">
        <f>VLOOKUP(C31,CHECKS!A:I,8,FALSE)</f>
        <v>7</v>
      </c>
      <c r="R31">
        <v>29</v>
      </c>
    </row>
    <row r="32" spans="1:18" x14ac:dyDescent="0.2">
      <c r="A32" s="4">
        <v>310</v>
      </c>
      <c r="B32" s="2" t="s">
        <v>136</v>
      </c>
      <c r="C32" s="4" t="s">
        <v>92</v>
      </c>
      <c r="D32" s="2" t="s">
        <v>112</v>
      </c>
      <c r="E32" s="2" t="s">
        <v>160</v>
      </c>
      <c r="F32" s="2" t="s">
        <v>112</v>
      </c>
      <c r="G32" s="4">
        <f t="shared" si="0"/>
        <v>1</v>
      </c>
      <c r="J32" s="2" t="s">
        <v>183</v>
      </c>
      <c r="L32" s="7">
        <v>48.880449456100003</v>
      </c>
      <c r="M32" s="7">
        <v>2.3094511679899998</v>
      </c>
      <c r="N32" s="4" t="str">
        <f>VLOOKUP(C32,CHECKS!A:I,9,FALSE)</f>
        <v>#003CA6</v>
      </c>
      <c r="O32" s="4">
        <f>VLOOKUP(C32,CHECKS!A:I,6,FALSE)</f>
        <v>1.38</v>
      </c>
      <c r="P32" s="4">
        <f>VLOOKUP(C32,CHECKS!A:I,7,FALSE)</f>
        <v>4</v>
      </c>
      <c r="Q32" s="4">
        <f>VLOOKUP(C32,CHECKS!A:I,8,FALSE)</f>
        <v>7</v>
      </c>
      <c r="R32">
        <v>30</v>
      </c>
    </row>
    <row r="33" spans="1:18" x14ac:dyDescent="0.2">
      <c r="A33" s="4">
        <v>320</v>
      </c>
      <c r="B33" s="2" t="s">
        <v>137</v>
      </c>
      <c r="C33" s="4" t="s">
        <v>92</v>
      </c>
      <c r="D33" s="2" t="s">
        <v>113</v>
      </c>
      <c r="E33" s="2" t="s">
        <v>161</v>
      </c>
      <c r="F33" s="2" t="s">
        <v>113</v>
      </c>
      <c r="G33" s="4">
        <f t="shared" si="0"/>
        <v>2</v>
      </c>
      <c r="H33" s="2" t="s">
        <v>209</v>
      </c>
      <c r="J33" s="2" t="s">
        <v>184</v>
      </c>
      <c r="K33" s="2" t="s">
        <v>113</v>
      </c>
      <c r="L33" s="7">
        <v>48.881150028500002</v>
      </c>
      <c r="M33" s="7">
        <v>2.31517662622</v>
      </c>
      <c r="N33" s="4" t="str">
        <f>VLOOKUP(C33,CHECKS!A:I,9,FALSE)</f>
        <v>#003CA6</v>
      </c>
      <c r="O33" s="4">
        <f>VLOOKUP(C33,CHECKS!A:I,6,FALSE)</f>
        <v>1.38</v>
      </c>
      <c r="P33" s="4">
        <f>VLOOKUP(C33,CHECKS!A:I,7,FALSE)</f>
        <v>4</v>
      </c>
      <c r="Q33" s="4">
        <f>VLOOKUP(C33,CHECKS!A:I,8,FALSE)</f>
        <v>7</v>
      </c>
      <c r="R33">
        <v>31</v>
      </c>
    </row>
    <row r="34" spans="1:18" x14ac:dyDescent="0.2">
      <c r="A34" s="4">
        <v>330</v>
      </c>
      <c r="B34" s="2" t="s">
        <v>138</v>
      </c>
      <c r="C34" s="4" t="s">
        <v>92</v>
      </c>
      <c r="D34" s="2" t="s">
        <v>114</v>
      </c>
      <c r="E34" s="2" t="s">
        <v>162</v>
      </c>
      <c r="F34" s="2" t="s">
        <v>114</v>
      </c>
      <c r="G34" s="4">
        <f t="shared" si="0"/>
        <v>1</v>
      </c>
      <c r="J34" s="2" t="s">
        <v>185</v>
      </c>
      <c r="L34" s="7">
        <v>48.882226900799999</v>
      </c>
      <c r="M34" s="7">
        <v>2.3212749267700001</v>
      </c>
      <c r="N34" s="4" t="str">
        <f>VLOOKUP(C34,CHECKS!A:I,9,FALSE)</f>
        <v>#003CA6</v>
      </c>
      <c r="O34" s="4">
        <f>VLOOKUP(C34,CHECKS!A:I,6,FALSE)</f>
        <v>1.38</v>
      </c>
      <c r="P34" s="4">
        <f>VLOOKUP(C34,CHECKS!A:I,7,FALSE)</f>
        <v>4</v>
      </c>
      <c r="Q34" s="4">
        <f>VLOOKUP(C34,CHECKS!A:I,8,FALSE)</f>
        <v>7</v>
      </c>
      <c r="R34">
        <v>32</v>
      </c>
    </row>
    <row r="35" spans="1:18" x14ac:dyDescent="0.2">
      <c r="A35" s="4">
        <v>340</v>
      </c>
      <c r="B35" s="2" t="s">
        <v>139</v>
      </c>
      <c r="C35" s="4" t="s">
        <v>92</v>
      </c>
      <c r="D35" s="2" t="s">
        <v>115</v>
      </c>
      <c r="E35" s="2" t="s">
        <v>163</v>
      </c>
      <c r="F35" s="2" t="s">
        <v>115</v>
      </c>
      <c r="G35" s="4">
        <f t="shared" si="0"/>
        <v>2</v>
      </c>
      <c r="H35" s="2" t="s">
        <v>1024</v>
      </c>
      <c r="J35" s="2" t="s">
        <v>186</v>
      </c>
      <c r="K35" s="2" t="s">
        <v>115</v>
      </c>
      <c r="L35" s="7">
        <v>48.883614992200002</v>
      </c>
      <c r="M35" s="7">
        <v>2.3278395561099998</v>
      </c>
      <c r="N35" s="4" t="str">
        <f>VLOOKUP(C35,CHECKS!A:I,9,FALSE)</f>
        <v>#003CA6</v>
      </c>
      <c r="O35" s="4">
        <f>VLOOKUP(C35,CHECKS!A:I,6,FALSE)</f>
        <v>1.38</v>
      </c>
      <c r="P35" s="4">
        <f>VLOOKUP(C35,CHECKS!A:I,7,FALSE)</f>
        <v>4</v>
      </c>
      <c r="Q35" s="4">
        <f>VLOOKUP(C35,CHECKS!A:I,8,FALSE)</f>
        <v>7</v>
      </c>
      <c r="R35">
        <v>33</v>
      </c>
    </row>
    <row r="36" spans="1:18" x14ac:dyDescent="0.2">
      <c r="A36" s="4">
        <v>350</v>
      </c>
      <c r="B36" s="2" t="s">
        <v>140</v>
      </c>
      <c r="C36" s="4" t="s">
        <v>92</v>
      </c>
      <c r="D36" s="2" t="s">
        <v>116</v>
      </c>
      <c r="E36" s="2" t="s">
        <v>164</v>
      </c>
      <c r="F36" s="2" t="s">
        <v>116</v>
      </c>
      <c r="G36" s="4">
        <f t="shared" si="0"/>
        <v>1</v>
      </c>
      <c r="J36" s="2" t="s">
        <v>187</v>
      </c>
      <c r="L36" s="7">
        <v>48.883958573500003</v>
      </c>
      <c r="M36" s="7">
        <v>2.3319265908900002</v>
      </c>
      <c r="N36" s="4" t="str">
        <f>VLOOKUP(C36,CHECKS!A:I,9,FALSE)</f>
        <v>#003CA6</v>
      </c>
      <c r="O36" s="4">
        <f>VLOOKUP(C36,CHECKS!A:I,6,FALSE)</f>
        <v>1.38</v>
      </c>
      <c r="P36" s="4">
        <f>VLOOKUP(C36,CHECKS!A:I,7,FALSE)</f>
        <v>4</v>
      </c>
      <c r="Q36" s="4">
        <f>VLOOKUP(C36,CHECKS!A:I,8,FALSE)</f>
        <v>7</v>
      </c>
      <c r="R36">
        <v>34</v>
      </c>
    </row>
    <row r="37" spans="1:18" x14ac:dyDescent="0.2">
      <c r="A37" s="4">
        <v>360</v>
      </c>
      <c r="B37" s="2" t="s">
        <v>141</v>
      </c>
      <c r="C37" s="4" t="s">
        <v>92</v>
      </c>
      <c r="D37" s="2" t="s">
        <v>117</v>
      </c>
      <c r="E37" s="2" t="s">
        <v>165</v>
      </c>
      <c r="F37" s="2" t="s">
        <v>117</v>
      </c>
      <c r="G37" s="4">
        <f t="shared" si="0"/>
        <v>2</v>
      </c>
      <c r="H37" s="2" t="s">
        <v>989</v>
      </c>
      <c r="J37" s="2" t="s">
        <v>188</v>
      </c>
      <c r="K37" s="2" t="s">
        <v>117</v>
      </c>
      <c r="L37" s="7">
        <v>48.882390150699997</v>
      </c>
      <c r="M37" s="7">
        <v>2.3372947905700001</v>
      </c>
      <c r="N37" s="4" t="str">
        <f>VLOOKUP(C37,CHECKS!A:I,9,FALSE)</f>
        <v>#003CA6</v>
      </c>
      <c r="O37" s="4">
        <f>VLOOKUP(C37,CHECKS!A:I,6,FALSE)</f>
        <v>1.38</v>
      </c>
      <c r="P37" s="4">
        <f>VLOOKUP(C37,CHECKS!A:I,7,FALSE)</f>
        <v>4</v>
      </c>
      <c r="Q37" s="4">
        <f>VLOOKUP(C37,CHECKS!A:I,8,FALSE)</f>
        <v>7</v>
      </c>
      <c r="R37">
        <v>35</v>
      </c>
    </row>
    <row r="38" spans="1:18" x14ac:dyDescent="0.2">
      <c r="A38" s="4">
        <v>370</v>
      </c>
      <c r="B38" s="2" t="s">
        <v>142</v>
      </c>
      <c r="C38" s="4" t="s">
        <v>92</v>
      </c>
      <c r="D38" s="2" t="s">
        <v>118</v>
      </c>
      <c r="E38" s="2" t="s">
        <v>166</v>
      </c>
      <c r="F38" s="2" t="s">
        <v>118</v>
      </c>
      <c r="G38" s="4">
        <f t="shared" si="0"/>
        <v>1</v>
      </c>
      <c r="J38" s="2" t="s">
        <v>189</v>
      </c>
      <c r="L38" s="7">
        <v>48.882868647599999</v>
      </c>
      <c r="M38" s="7">
        <v>2.3441306337199999</v>
      </c>
      <c r="N38" s="4" t="str">
        <f>VLOOKUP(C38,CHECKS!A:I,9,FALSE)</f>
        <v>#003CA6</v>
      </c>
      <c r="O38" s="4">
        <f>VLOOKUP(C38,CHECKS!A:I,6,FALSE)</f>
        <v>1.38</v>
      </c>
      <c r="P38" s="4">
        <f>VLOOKUP(C38,CHECKS!A:I,7,FALSE)</f>
        <v>4</v>
      </c>
      <c r="Q38" s="4">
        <f>VLOOKUP(C38,CHECKS!A:I,8,FALSE)</f>
        <v>7</v>
      </c>
      <c r="R38">
        <v>36</v>
      </c>
    </row>
    <row r="39" spans="1:18" x14ac:dyDescent="0.2">
      <c r="A39" s="4">
        <v>380</v>
      </c>
      <c r="B39" s="2" t="s">
        <v>143</v>
      </c>
      <c r="C39" s="4" t="s">
        <v>92</v>
      </c>
      <c r="D39" s="2" t="s">
        <v>119</v>
      </c>
      <c r="E39" s="2" t="s">
        <v>167</v>
      </c>
      <c r="F39" s="2" t="s">
        <v>119</v>
      </c>
      <c r="G39" s="4">
        <f t="shared" si="0"/>
        <v>2</v>
      </c>
      <c r="H39" s="2" t="s">
        <v>283</v>
      </c>
      <c r="J39" s="2" t="s">
        <v>190</v>
      </c>
      <c r="K39" s="2" t="s">
        <v>119</v>
      </c>
      <c r="L39" s="7">
        <v>48.8838039424</v>
      </c>
      <c r="M39" s="7">
        <v>2.3506130006900001</v>
      </c>
      <c r="N39" s="4" t="str">
        <f>VLOOKUP(C39,CHECKS!A:I,9,FALSE)</f>
        <v>#003CA6</v>
      </c>
      <c r="O39" s="4">
        <f>VLOOKUP(C39,CHECKS!A:I,6,FALSE)</f>
        <v>1.38</v>
      </c>
      <c r="P39" s="4">
        <f>VLOOKUP(C39,CHECKS!A:I,7,FALSE)</f>
        <v>4</v>
      </c>
      <c r="Q39" s="4">
        <f>VLOOKUP(C39,CHECKS!A:I,8,FALSE)</f>
        <v>7</v>
      </c>
      <c r="R39">
        <v>37</v>
      </c>
    </row>
    <row r="40" spans="1:18" x14ac:dyDescent="0.2">
      <c r="A40" s="4">
        <v>390</v>
      </c>
      <c r="B40" s="2" t="s">
        <v>144</v>
      </c>
      <c r="C40" s="4" t="s">
        <v>92</v>
      </c>
      <c r="D40" s="2" t="s">
        <v>120</v>
      </c>
      <c r="E40" s="2" t="s">
        <v>168</v>
      </c>
      <c r="F40" s="2" t="s">
        <v>120</v>
      </c>
      <c r="G40" s="4">
        <f t="shared" si="0"/>
        <v>1</v>
      </c>
      <c r="H40" s="2" t="s">
        <v>1475</v>
      </c>
      <c r="J40" s="2" t="s">
        <v>191</v>
      </c>
      <c r="K40" s="2" t="s">
        <v>2617</v>
      </c>
      <c r="L40" s="7">
        <v>48.884398795199999</v>
      </c>
      <c r="M40" s="7">
        <v>2.3604913185299998</v>
      </c>
      <c r="N40" s="4" t="str">
        <f>VLOOKUP(C40,CHECKS!A:I,9,FALSE)</f>
        <v>#003CA6</v>
      </c>
      <c r="O40" s="4">
        <f>VLOOKUP(C40,CHECKS!A:I,6,FALSE)</f>
        <v>1.38</v>
      </c>
      <c r="P40" s="4">
        <f>VLOOKUP(C40,CHECKS!A:I,7,FALSE)</f>
        <v>4</v>
      </c>
      <c r="Q40" s="4">
        <f>VLOOKUP(C40,CHECKS!A:I,8,FALSE)</f>
        <v>7</v>
      </c>
      <c r="R40">
        <v>38</v>
      </c>
    </row>
    <row r="41" spans="1:18" x14ac:dyDescent="0.2">
      <c r="A41" s="4">
        <v>400</v>
      </c>
      <c r="B41" s="2" t="s">
        <v>145</v>
      </c>
      <c r="C41" s="4" t="s">
        <v>92</v>
      </c>
      <c r="D41" s="2" t="s">
        <v>121</v>
      </c>
      <c r="E41" s="2" t="s">
        <v>169</v>
      </c>
      <c r="F41" s="2" t="s">
        <v>121</v>
      </c>
      <c r="G41" s="4">
        <f t="shared" si="0"/>
        <v>3</v>
      </c>
      <c r="H41" s="2" t="s">
        <v>1429</v>
      </c>
      <c r="I41" s="2" t="s">
        <v>2497</v>
      </c>
      <c r="J41" s="2" t="s">
        <v>192</v>
      </c>
      <c r="K41" s="2" t="s">
        <v>1439</v>
      </c>
      <c r="L41" s="7">
        <v>48.8842789443</v>
      </c>
      <c r="M41" s="7">
        <v>2.3658813581699998</v>
      </c>
      <c r="N41" s="4" t="str">
        <f>VLOOKUP(C41,CHECKS!A:I,9,FALSE)</f>
        <v>#003CA6</v>
      </c>
      <c r="O41" s="4">
        <f>VLOOKUP(C41,CHECKS!A:I,6,FALSE)</f>
        <v>1.38</v>
      </c>
      <c r="P41" s="4">
        <f>VLOOKUP(C41,CHECKS!A:I,7,FALSE)</f>
        <v>4</v>
      </c>
      <c r="Q41" s="4">
        <f>VLOOKUP(C41,CHECKS!A:I,8,FALSE)</f>
        <v>7</v>
      </c>
      <c r="R41">
        <v>39</v>
      </c>
    </row>
    <row r="42" spans="1:18" x14ac:dyDescent="0.2">
      <c r="A42" s="4">
        <v>410</v>
      </c>
      <c r="B42" s="2" t="s">
        <v>146</v>
      </c>
      <c r="C42" s="4" t="s">
        <v>92</v>
      </c>
      <c r="D42" s="2" t="s">
        <v>122</v>
      </c>
      <c r="E42" s="2" t="s">
        <v>170</v>
      </c>
      <c r="F42" s="2" t="s">
        <v>122</v>
      </c>
      <c r="G42" s="4">
        <f t="shared" si="0"/>
        <v>3</v>
      </c>
      <c r="H42" s="2" t="s">
        <v>1399</v>
      </c>
      <c r="J42" s="2" t="s">
        <v>193</v>
      </c>
      <c r="K42" s="2" t="s">
        <v>1440</v>
      </c>
      <c r="L42" s="7">
        <v>48.881498595899998</v>
      </c>
      <c r="M42" s="7">
        <v>2.3702621266600001</v>
      </c>
      <c r="N42" s="4" t="str">
        <f>VLOOKUP(C42,CHECKS!A:I,9,FALSE)</f>
        <v>#003CA6</v>
      </c>
      <c r="O42" s="4">
        <f>VLOOKUP(C42,CHECKS!A:I,6,FALSE)</f>
        <v>1.38</v>
      </c>
      <c r="P42" s="4">
        <f>VLOOKUP(C42,CHECKS!A:I,7,FALSE)</f>
        <v>4</v>
      </c>
      <c r="Q42" s="4">
        <f>VLOOKUP(C42,CHECKS!A:I,8,FALSE)</f>
        <v>7</v>
      </c>
      <c r="R42">
        <v>40</v>
      </c>
    </row>
    <row r="43" spans="1:18" x14ac:dyDescent="0.2">
      <c r="A43" s="4">
        <v>420</v>
      </c>
      <c r="B43" s="2" t="s">
        <v>147</v>
      </c>
      <c r="C43" s="4" t="s">
        <v>92</v>
      </c>
      <c r="D43" s="2" t="s">
        <v>123</v>
      </c>
      <c r="E43" s="2" t="s">
        <v>171</v>
      </c>
      <c r="F43" s="2" t="s">
        <v>123</v>
      </c>
      <c r="G43" s="4">
        <f t="shared" si="0"/>
        <v>1</v>
      </c>
      <c r="J43" s="2" t="s">
        <v>194</v>
      </c>
      <c r="L43" s="7">
        <v>48.877610187400002</v>
      </c>
      <c r="M43" s="7">
        <v>2.3708113953100001</v>
      </c>
      <c r="N43" s="4" t="str">
        <f>VLOOKUP(C43,CHECKS!A:I,9,FALSE)</f>
        <v>#003CA6</v>
      </c>
      <c r="O43" s="4">
        <f>VLOOKUP(C43,CHECKS!A:I,6,FALSE)</f>
        <v>1.38</v>
      </c>
      <c r="P43" s="4">
        <f>VLOOKUP(C43,CHECKS!A:I,7,FALSE)</f>
        <v>4</v>
      </c>
      <c r="Q43" s="4">
        <f>VLOOKUP(C43,CHECKS!A:I,8,FALSE)</f>
        <v>7</v>
      </c>
      <c r="R43">
        <v>41</v>
      </c>
    </row>
    <row r="44" spans="1:18" x14ac:dyDescent="0.2">
      <c r="A44" s="4">
        <v>430</v>
      </c>
      <c r="B44" s="2" t="s">
        <v>148</v>
      </c>
      <c r="C44" s="4" t="s">
        <v>92</v>
      </c>
      <c r="D44" s="2" t="s">
        <v>124</v>
      </c>
      <c r="E44" s="2" t="s">
        <v>172</v>
      </c>
      <c r="F44" s="2" t="s">
        <v>124</v>
      </c>
      <c r="G44" s="4">
        <f t="shared" si="0"/>
        <v>2</v>
      </c>
      <c r="H44" s="2" t="s">
        <v>975</v>
      </c>
      <c r="J44" s="2" t="s">
        <v>195</v>
      </c>
      <c r="K44" s="2" t="s">
        <v>124</v>
      </c>
      <c r="L44" s="7">
        <v>48.872310113799998</v>
      </c>
      <c r="M44" s="7">
        <v>2.3767021447299999</v>
      </c>
      <c r="N44" s="4" t="str">
        <f>VLOOKUP(C44,CHECKS!A:I,9,FALSE)</f>
        <v>#003CA6</v>
      </c>
      <c r="O44" s="4">
        <f>VLOOKUP(C44,CHECKS!A:I,6,FALSE)</f>
        <v>1.38</v>
      </c>
      <c r="P44" s="4">
        <f>VLOOKUP(C44,CHECKS!A:I,7,FALSE)</f>
        <v>4</v>
      </c>
      <c r="Q44" s="4">
        <f>VLOOKUP(C44,CHECKS!A:I,8,FALSE)</f>
        <v>7</v>
      </c>
      <c r="R44">
        <v>42</v>
      </c>
    </row>
    <row r="45" spans="1:18" x14ac:dyDescent="0.2">
      <c r="A45" s="4">
        <v>440</v>
      </c>
      <c r="B45" s="2" t="s">
        <v>149</v>
      </c>
      <c r="C45" s="4" t="s">
        <v>92</v>
      </c>
      <c r="D45" s="2" t="s">
        <v>125</v>
      </c>
      <c r="E45" s="2" t="s">
        <v>173</v>
      </c>
      <c r="F45" s="2" t="s">
        <v>125</v>
      </c>
      <c r="G45" s="4">
        <f t="shared" si="0"/>
        <v>1</v>
      </c>
      <c r="J45" s="2" t="s">
        <v>196</v>
      </c>
      <c r="L45" s="7">
        <v>48.869091162899998</v>
      </c>
      <c r="M45" s="7">
        <v>2.3805425859899998</v>
      </c>
      <c r="N45" s="4" t="str">
        <f>VLOOKUP(C45,CHECKS!A:I,9,FALSE)</f>
        <v>#003CA6</v>
      </c>
      <c r="O45" s="4">
        <f>VLOOKUP(C45,CHECKS!A:I,6,FALSE)</f>
        <v>1.38</v>
      </c>
      <c r="P45" s="4">
        <f>VLOOKUP(C45,CHECKS!A:I,7,FALSE)</f>
        <v>4</v>
      </c>
      <c r="Q45" s="4">
        <f>VLOOKUP(C45,CHECKS!A:I,8,FALSE)</f>
        <v>7</v>
      </c>
      <c r="R45">
        <v>43</v>
      </c>
    </row>
    <row r="46" spans="1:18" x14ac:dyDescent="0.2">
      <c r="A46" s="4">
        <v>450</v>
      </c>
      <c r="B46" s="2" t="s">
        <v>150</v>
      </c>
      <c r="C46" s="4" t="s">
        <v>92</v>
      </c>
      <c r="D46" s="2" t="s">
        <v>126</v>
      </c>
      <c r="E46" s="2" t="s">
        <v>174</v>
      </c>
      <c r="F46" s="2" t="s">
        <v>126</v>
      </c>
      <c r="G46" s="4">
        <f t="shared" si="0"/>
        <v>1</v>
      </c>
      <c r="J46" s="2" t="s">
        <v>197</v>
      </c>
      <c r="L46" s="7">
        <v>48.866800035099999</v>
      </c>
      <c r="M46" s="7">
        <v>2.3833832504600001</v>
      </c>
      <c r="N46" s="4" t="str">
        <f>VLOOKUP(C46,CHECKS!A:I,9,FALSE)</f>
        <v>#003CA6</v>
      </c>
      <c r="O46" s="4">
        <f>VLOOKUP(C46,CHECKS!A:I,6,FALSE)</f>
        <v>1.38</v>
      </c>
      <c r="P46" s="4">
        <f>VLOOKUP(C46,CHECKS!A:I,7,FALSE)</f>
        <v>4</v>
      </c>
      <c r="Q46" s="4">
        <f>VLOOKUP(C46,CHECKS!A:I,8,FALSE)</f>
        <v>7</v>
      </c>
      <c r="R46">
        <v>44</v>
      </c>
    </row>
    <row r="47" spans="1:18" x14ac:dyDescent="0.2">
      <c r="A47" s="4">
        <v>460</v>
      </c>
      <c r="B47" s="2" t="s">
        <v>151</v>
      </c>
      <c r="C47" s="4" t="s">
        <v>92</v>
      </c>
      <c r="D47" s="2" t="s">
        <v>127</v>
      </c>
      <c r="E47" s="2" t="s">
        <v>175</v>
      </c>
      <c r="F47" s="2" t="s">
        <v>127</v>
      </c>
      <c r="G47" s="4">
        <f t="shared" si="0"/>
        <v>2</v>
      </c>
      <c r="H47" s="2" t="s">
        <v>223</v>
      </c>
      <c r="J47" s="2" t="s">
        <v>198</v>
      </c>
      <c r="K47" s="2" t="s">
        <v>127</v>
      </c>
      <c r="L47" s="7">
        <v>48.862654019099999</v>
      </c>
      <c r="M47" s="7">
        <v>2.3876072881499999</v>
      </c>
      <c r="N47" s="4" t="str">
        <f>VLOOKUP(C47,CHECKS!A:I,9,FALSE)</f>
        <v>#003CA6</v>
      </c>
      <c r="O47" s="4">
        <f>VLOOKUP(C47,CHECKS!A:I,6,FALSE)</f>
        <v>1.38</v>
      </c>
      <c r="P47" s="4">
        <f>VLOOKUP(C47,CHECKS!A:I,7,FALSE)</f>
        <v>4</v>
      </c>
      <c r="Q47" s="4">
        <f>VLOOKUP(C47,CHECKS!A:I,8,FALSE)</f>
        <v>7</v>
      </c>
      <c r="R47">
        <v>45</v>
      </c>
    </row>
    <row r="48" spans="1:18" x14ac:dyDescent="0.2">
      <c r="A48" s="4">
        <v>470</v>
      </c>
      <c r="B48" s="2" t="s">
        <v>152</v>
      </c>
      <c r="C48" s="4" t="s">
        <v>92</v>
      </c>
      <c r="D48" s="2" t="s">
        <v>128</v>
      </c>
      <c r="E48" s="2" t="s">
        <v>176</v>
      </c>
      <c r="F48" s="2" t="s">
        <v>128</v>
      </c>
      <c r="G48" s="4">
        <f t="shared" si="0"/>
        <v>1</v>
      </c>
      <c r="J48" s="2" t="s">
        <v>199</v>
      </c>
      <c r="L48" s="7">
        <v>48.858466549399999</v>
      </c>
      <c r="M48" s="7">
        <v>2.3897298523499999</v>
      </c>
      <c r="N48" s="4" t="str">
        <f>VLOOKUP(C48,CHECKS!A:I,9,FALSE)</f>
        <v>#003CA6</v>
      </c>
      <c r="O48" s="4">
        <f>VLOOKUP(C48,CHECKS!A:I,6,FALSE)</f>
        <v>1.38</v>
      </c>
      <c r="P48" s="4">
        <f>VLOOKUP(C48,CHECKS!A:I,7,FALSE)</f>
        <v>4</v>
      </c>
      <c r="Q48" s="4">
        <f>VLOOKUP(C48,CHECKS!A:I,8,FALSE)</f>
        <v>7</v>
      </c>
      <c r="R48">
        <v>46</v>
      </c>
    </row>
    <row r="49" spans="1:18" x14ac:dyDescent="0.2">
      <c r="A49" s="4">
        <v>480</v>
      </c>
      <c r="B49" s="2" t="s">
        <v>153</v>
      </c>
      <c r="C49" s="4" t="s">
        <v>92</v>
      </c>
      <c r="D49" s="2" t="s">
        <v>129</v>
      </c>
      <c r="E49" s="2" t="s">
        <v>177</v>
      </c>
      <c r="F49" s="2" t="s">
        <v>129</v>
      </c>
      <c r="G49" s="4">
        <f t="shared" si="0"/>
        <v>1</v>
      </c>
      <c r="J49" s="2" t="s">
        <v>200</v>
      </c>
      <c r="L49" s="7">
        <v>48.856377357200003</v>
      </c>
      <c r="M49" s="7">
        <v>2.3945619445599999</v>
      </c>
      <c r="N49" s="4" t="str">
        <f>VLOOKUP(C49,CHECKS!A:I,9,FALSE)</f>
        <v>#003CA6</v>
      </c>
      <c r="O49" s="4">
        <f>VLOOKUP(C49,CHECKS!A:I,6,FALSE)</f>
        <v>1.38</v>
      </c>
      <c r="P49" s="4">
        <f>VLOOKUP(C49,CHECKS!A:I,7,FALSE)</f>
        <v>4</v>
      </c>
      <c r="Q49" s="4">
        <f>VLOOKUP(C49,CHECKS!A:I,8,FALSE)</f>
        <v>7</v>
      </c>
      <c r="R49">
        <v>47</v>
      </c>
    </row>
    <row r="50" spans="1:18" x14ac:dyDescent="0.2">
      <c r="A50" s="4">
        <v>490</v>
      </c>
      <c r="B50" s="2" t="s">
        <v>154</v>
      </c>
      <c r="C50" s="4" t="s">
        <v>92</v>
      </c>
      <c r="D50" s="2" t="s">
        <v>130</v>
      </c>
      <c r="E50" s="2" t="s">
        <v>178</v>
      </c>
      <c r="F50" s="2" t="s">
        <v>130</v>
      </c>
      <c r="G50" s="4">
        <f t="shared" si="0"/>
        <v>1</v>
      </c>
      <c r="J50" s="2" t="s">
        <v>201</v>
      </c>
      <c r="L50" s="7">
        <v>48.851510278200003</v>
      </c>
      <c r="M50" s="7">
        <v>2.3983023442700002</v>
      </c>
      <c r="N50" s="4" t="str">
        <f>VLOOKUP(C50,CHECKS!A:I,9,FALSE)</f>
        <v>#003CA6</v>
      </c>
      <c r="O50" s="4">
        <f>VLOOKUP(C50,CHECKS!A:I,6,FALSE)</f>
        <v>1.38</v>
      </c>
      <c r="P50" s="4">
        <f>VLOOKUP(C50,CHECKS!A:I,7,FALSE)</f>
        <v>4</v>
      </c>
      <c r="Q50" s="4">
        <f>VLOOKUP(C50,CHECKS!A:I,8,FALSE)</f>
        <v>7</v>
      </c>
      <c r="R50">
        <v>48</v>
      </c>
    </row>
    <row r="51" spans="1:18" x14ac:dyDescent="0.2">
      <c r="A51" s="4">
        <v>500</v>
      </c>
      <c r="B51" s="2" t="s">
        <v>155</v>
      </c>
      <c r="C51" s="4" t="s">
        <v>92</v>
      </c>
      <c r="D51" s="2" t="s">
        <v>25</v>
      </c>
      <c r="E51" s="2" t="s">
        <v>154</v>
      </c>
      <c r="F51" s="2" t="s">
        <v>25</v>
      </c>
      <c r="G51" s="4">
        <f t="shared" si="0"/>
        <v>5</v>
      </c>
      <c r="H51" s="2" t="s">
        <v>1411</v>
      </c>
      <c r="I51" s="2" t="s">
        <v>2375</v>
      </c>
      <c r="J51" s="2" t="s">
        <v>130</v>
      </c>
      <c r="K51" s="2" t="s">
        <v>1438</v>
      </c>
      <c r="L51" s="7">
        <v>48.848474285999998</v>
      </c>
      <c r="M51" s="7">
        <v>2.3950623054300002</v>
      </c>
      <c r="N51" s="4" t="str">
        <f>VLOOKUP(C51,CHECKS!A:I,9,FALSE)</f>
        <v>#003CA6</v>
      </c>
      <c r="O51" s="4">
        <f>VLOOKUP(C51,CHECKS!A:I,6,FALSE)</f>
        <v>1.38</v>
      </c>
      <c r="P51" s="4">
        <f>VLOOKUP(C51,CHECKS!A:I,7,FALSE)</f>
        <v>4</v>
      </c>
      <c r="Q51" s="4">
        <f>VLOOKUP(C51,CHECKS!A:I,8,FALSE)</f>
        <v>7</v>
      </c>
      <c r="R51">
        <v>49</v>
      </c>
    </row>
    <row r="52" spans="1:18" x14ac:dyDescent="0.2">
      <c r="A52" s="4">
        <v>510</v>
      </c>
      <c r="B52" s="2" t="s">
        <v>202</v>
      </c>
      <c r="C52" s="10" t="s">
        <v>93</v>
      </c>
      <c r="D52" s="11" t="s">
        <v>227</v>
      </c>
      <c r="E52" s="11" t="s">
        <v>203</v>
      </c>
      <c r="F52" s="11" t="s">
        <v>227</v>
      </c>
      <c r="G52" s="10">
        <f t="shared" si="0"/>
        <v>1</v>
      </c>
      <c r="H52" s="11"/>
      <c r="I52" s="11"/>
      <c r="J52" s="11" t="s">
        <v>228</v>
      </c>
      <c r="K52" s="11"/>
      <c r="L52" s="12">
        <v>48.897821067099997</v>
      </c>
      <c r="M52" s="12">
        <v>2.2798095866899999</v>
      </c>
      <c r="N52" s="4" t="str">
        <f>VLOOKUP(C52,CHECKS!A:I,9,FALSE)</f>
        <v>#837902</v>
      </c>
      <c r="O52" s="4">
        <f>VLOOKUP(C52,CHECKS!A:I,6,FALSE)</f>
        <v>1.29</v>
      </c>
      <c r="P52" s="4">
        <f>VLOOKUP(C52,CHECKS!A:I,7,FALSE)</f>
        <v>4</v>
      </c>
      <c r="Q52" s="4">
        <f>VLOOKUP(C52,CHECKS!A:I,8,FALSE)</f>
        <v>7</v>
      </c>
      <c r="R52">
        <v>50</v>
      </c>
    </row>
    <row r="53" spans="1:18" x14ac:dyDescent="0.2">
      <c r="A53" s="4">
        <v>520</v>
      </c>
      <c r="B53" s="2" t="s">
        <v>203</v>
      </c>
      <c r="C53" s="10" t="s">
        <v>93</v>
      </c>
      <c r="D53" s="11" t="s">
        <v>228</v>
      </c>
      <c r="E53" s="11" t="s">
        <v>250</v>
      </c>
      <c r="F53" s="11" t="s">
        <v>228</v>
      </c>
      <c r="G53" s="10">
        <f t="shared" si="0"/>
        <v>1</v>
      </c>
      <c r="H53" s="11"/>
      <c r="I53" s="11"/>
      <c r="J53" s="11" t="s">
        <v>268</v>
      </c>
      <c r="K53" s="11"/>
      <c r="L53" s="12">
        <v>48.892082786000003</v>
      </c>
      <c r="M53" s="12">
        <v>2.2850095027499999</v>
      </c>
      <c r="N53" s="4" t="str">
        <f>VLOOKUP(C53,CHECKS!A:I,9,FALSE)</f>
        <v>#837902</v>
      </c>
      <c r="O53" s="4">
        <f>VLOOKUP(C53,CHECKS!A:I,6,FALSE)</f>
        <v>1.29</v>
      </c>
      <c r="P53" s="4">
        <f>VLOOKUP(C53,CHECKS!A:I,7,FALSE)</f>
        <v>4</v>
      </c>
      <c r="Q53" s="4">
        <f>VLOOKUP(C53,CHECKS!A:I,8,FALSE)</f>
        <v>7</v>
      </c>
      <c r="R53">
        <v>51</v>
      </c>
    </row>
    <row r="54" spans="1:18" x14ac:dyDescent="0.2">
      <c r="A54" s="4">
        <v>530</v>
      </c>
      <c r="B54" s="2" t="s">
        <v>204</v>
      </c>
      <c r="C54" s="10" t="s">
        <v>93</v>
      </c>
      <c r="D54" s="11" t="s">
        <v>229</v>
      </c>
      <c r="E54" s="11" t="s">
        <v>251</v>
      </c>
      <c r="F54" s="11" t="s">
        <v>229</v>
      </c>
      <c r="G54" s="10">
        <f t="shared" si="0"/>
        <v>1</v>
      </c>
      <c r="H54" s="11"/>
      <c r="I54" s="11"/>
      <c r="J54" s="11" t="s">
        <v>269</v>
      </c>
      <c r="K54" s="11"/>
      <c r="L54" s="12">
        <v>48.888706019799997</v>
      </c>
      <c r="M54" s="12">
        <v>2.2880836330499998</v>
      </c>
      <c r="N54" s="4" t="str">
        <f>VLOOKUP(C54,CHECKS!A:I,9,FALSE)</f>
        <v>#837902</v>
      </c>
      <c r="O54" s="4">
        <f>VLOOKUP(C54,CHECKS!A:I,6,FALSE)</f>
        <v>1.29</v>
      </c>
      <c r="P54" s="4">
        <f>VLOOKUP(C54,CHECKS!A:I,7,FALSE)</f>
        <v>4</v>
      </c>
      <c r="Q54" s="4">
        <f>VLOOKUP(C54,CHECKS!A:I,8,FALSE)</f>
        <v>7</v>
      </c>
      <c r="R54">
        <v>52</v>
      </c>
    </row>
    <row r="55" spans="1:18" x14ac:dyDescent="0.2">
      <c r="A55" s="4">
        <v>540</v>
      </c>
      <c r="B55" s="2" t="s">
        <v>205</v>
      </c>
      <c r="C55" s="10" t="s">
        <v>93</v>
      </c>
      <c r="D55" s="11" t="s">
        <v>230</v>
      </c>
      <c r="E55" s="11" t="s">
        <v>252</v>
      </c>
      <c r="F55" s="11" t="s">
        <v>230</v>
      </c>
      <c r="G55" s="10">
        <f t="shared" si="0"/>
        <v>1</v>
      </c>
      <c r="H55" s="11"/>
      <c r="I55" s="11"/>
      <c r="J55" s="11" t="s">
        <v>270</v>
      </c>
      <c r="K55" s="11"/>
      <c r="L55" s="12">
        <v>48.885793105200001</v>
      </c>
      <c r="M55" s="12">
        <v>2.2925823141000001</v>
      </c>
      <c r="N55" s="4" t="str">
        <f>VLOOKUP(C55,CHECKS!A:I,9,FALSE)</f>
        <v>#837902</v>
      </c>
      <c r="O55" s="4">
        <f>VLOOKUP(C55,CHECKS!A:I,6,FALSE)</f>
        <v>1.29</v>
      </c>
      <c r="P55" s="4">
        <f>VLOOKUP(C55,CHECKS!A:I,7,FALSE)</f>
        <v>4</v>
      </c>
      <c r="Q55" s="4">
        <f>VLOOKUP(C55,CHECKS!A:I,8,FALSE)</f>
        <v>7</v>
      </c>
      <c r="R55">
        <v>53</v>
      </c>
    </row>
    <row r="56" spans="1:18" x14ac:dyDescent="0.2">
      <c r="A56" s="4">
        <v>550</v>
      </c>
      <c r="B56" s="2" t="s">
        <v>206</v>
      </c>
      <c r="C56" s="10" t="s">
        <v>93</v>
      </c>
      <c r="D56" s="11" t="s">
        <v>231</v>
      </c>
      <c r="E56" s="11" t="s">
        <v>253</v>
      </c>
      <c r="F56" s="11" t="s">
        <v>231</v>
      </c>
      <c r="G56" s="10">
        <f t="shared" si="0"/>
        <v>1</v>
      </c>
      <c r="H56" s="11"/>
      <c r="I56" s="11"/>
      <c r="J56" s="11" t="s">
        <v>271</v>
      </c>
      <c r="K56" s="11"/>
      <c r="L56" s="12">
        <v>48.884896255199997</v>
      </c>
      <c r="M56" s="12">
        <v>2.2977243464799999</v>
      </c>
      <c r="N56" s="4" t="str">
        <f>VLOOKUP(C56,CHECKS!A:I,9,FALSE)</f>
        <v>#837902</v>
      </c>
      <c r="O56" s="4">
        <f>VLOOKUP(C56,CHECKS!A:I,6,FALSE)</f>
        <v>1.29</v>
      </c>
      <c r="P56" s="4">
        <f>VLOOKUP(C56,CHECKS!A:I,7,FALSE)</f>
        <v>4</v>
      </c>
      <c r="Q56" s="4">
        <f>VLOOKUP(C56,CHECKS!A:I,8,FALSE)</f>
        <v>7</v>
      </c>
      <c r="R56">
        <v>54</v>
      </c>
    </row>
    <row r="57" spans="1:18" x14ac:dyDescent="0.2">
      <c r="A57" s="4">
        <v>560</v>
      </c>
      <c r="B57" s="2" t="s">
        <v>207</v>
      </c>
      <c r="C57" s="10" t="s">
        <v>93</v>
      </c>
      <c r="D57" s="11" t="s">
        <v>232</v>
      </c>
      <c r="E57" s="11" t="s">
        <v>254</v>
      </c>
      <c r="F57" s="11" t="s">
        <v>232</v>
      </c>
      <c r="G57" s="10">
        <f t="shared" si="0"/>
        <v>1</v>
      </c>
      <c r="H57" s="11"/>
      <c r="I57" s="11"/>
      <c r="J57" s="11" t="s">
        <v>272</v>
      </c>
      <c r="K57" s="11"/>
      <c r="L57" s="12">
        <v>48.883809201200002</v>
      </c>
      <c r="M57" s="12">
        <v>2.3046744405299999</v>
      </c>
      <c r="N57" s="4" t="str">
        <f>VLOOKUP(C57,CHECKS!A:I,9,FALSE)</f>
        <v>#837902</v>
      </c>
      <c r="O57" s="4">
        <f>VLOOKUP(C57,CHECKS!A:I,6,FALSE)</f>
        <v>1.29</v>
      </c>
      <c r="P57" s="4">
        <f>VLOOKUP(C57,CHECKS!A:I,7,FALSE)</f>
        <v>4</v>
      </c>
      <c r="Q57" s="4">
        <f>VLOOKUP(C57,CHECKS!A:I,8,FALSE)</f>
        <v>7</v>
      </c>
      <c r="R57">
        <v>55</v>
      </c>
    </row>
    <row r="58" spans="1:18" x14ac:dyDescent="0.2">
      <c r="A58" s="4">
        <v>570</v>
      </c>
      <c r="B58" s="2" t="s">
        <v>208</v>
      </c>
      <c r="C58" s="10" t="s">
        <v>93</v>
      </c>
      <c r="D58" s="11" t="s">
        <v>233</v>
      </c>
      <c r="E58" s="11" t="s">
        <v>255</v>
      </c>
      <c r="F58" s="11" t="s">
        <v>233</v>
      </c>
      <c r="G58" s="10">
        <f t="shared" si="0"/>
        <v>1</v>
      </c>
      <c r="H58" s="11"/>
      <c r="I58" s="11"/>
      <c r="J58" s="11" t="s">
        <v>273</v>
      </c>
      <c r="K58" s="11"/>
      <c r="L58" s="12">
        <v>48.882891917499997</v>
      </c>
      <c r="M58" s="12">
        <v>2.30905226455</v>
      </c>
      <c r="N58" s="4" t="str">
        <f>VLOOKUP(C58,CHECKS!A:I,9,FALSE)</f>
        <v>#837902</v>
      </c>
      <c r="O58" s="4">
        <f>VLOOKUP(C58,CHECKS!A:I,6,FALSE)</f>
        <v>1.29</v>
      </c>
      <c r="P58" s="4">
        <f>VLOOKUP(C58,CHECKS!A:I,7,FALSE)</f>
        <v>4</v>
      </c>
      <c r="Q58" s="4">
        <f>VLOOKUP(C58,CHECKS!A:I,8,FALSE)</f>
        <v>7</v>
      </c>
      <c r="R58">
        <v>56</v>
      </c>
    </row>
    <row r="59" spans="1:18" x14ac:dyDescent="0.2">
      <c r="A59" s="4">
        <v>580</v>
      </c>
      <c r="B59" s="2" t="s">
        <v>209</v>
      </c>
      <c r="C59" s="10" t="s">
        <v>93</v>
      </c>
      <c r="D59" s="11" t="s">
        <v>113</v>
      </c>
      <c r="E59" s="11" t="s">
        <v>256</v>
      </c>
      <c r="F59" s="11" t="s">
        <v>113</v>
      </c>
      <c r="G59" s="10">
        <f t="shared" si="0"/>
        <v>2</v>
      </c>
      <c r="H59" s="11" t="s">
        <v>137</v>
      </c>
      <c r="I59" s="11"/>
      <c r="J59" s="11" t="s">
        <v>274</v>
      </c>
      <c r="K59" s="11" t="s">
        <v>113</v>
      </c>
      <c r="L59" s="12">
        <v>48.881150028500002</v>
      </c>
      <c r="M59" s="12">
        <v>2.31517662622</v>
      </c>
      <c r="N59" s="4" t="str">
        <f>VLOOKUP(C59,CHECKS!A:I,9,FALSE)</f>
        <v>#837902</v>
      </c>
      <c r="O59" s="4">
        <f>VLOOKUP(C59,CHECKS!A:I,6,FALSE)</f>
        <v>1.29</v>
      </c>
      <c r="P59" s="4">
        <f>VLOOKUP(C59,CHECKS!A:I,7,FALSE)</f>
        <v>4</v>
      </c>
      <c r="Q59" s="4">
        <f>VLOOKUP(C59,CHECKS!A:I,8,FALSE)</f>
        <v>7</v>
      </c>
      <c r="R59">
        <v>57</v>
      </c>
    </row>
    <row r="60" spans="1:18" x14ac:dyDescent="0.2">
      <c r="A60" s="4">
        <v>590</v>
      </c>
      <c r="B60" s="2" t="s">
        <v>210</v>
      </c>
      <c r="C60" s="10" t="s">
        <v>93</v>
      </c>
      <c r="D60" s="11" t="s">
        <v>234</v>
      </c>
      <c r="E60" s="11" t="s">
        <v>257</v>
      </c>
      <c r="F60" s="11" t="s">
        <v>234</v>
      </c>
      <c r="G60" s="10">
        <f t="shared" si="0"/>
        <v>1</v>
      </c>
      <c r="H60" s="11"/>
      <c r="I60" s="11"/>
      <c r="J60" s="11" t="s">
        <v>275</v>
      </c>
      <c r="K60" s="11"/>
      <c r="L60" s="12">
        <v>48.8787703685</v>
      </c>
      <c r="M60" s="12">
        <v>2.3222652131200001</v>
      </c>
      <c r="N60" s="4" t="str">
        <f>VLOOKUP(C60,CHECKS!A:I,9,FALSE)</f>
        <v>#837902</v>
      </c>
      <c r="O60" s="4">
        <f>VLOOKUP(C60,CHECKS!A:I,6,FALSE)</f>
        <v>1.29</v>
      </c>
      <c r="P60" s="4">
        <f>VLOOKUP(C60,CHECKS!A:I,7,FALSE)</f>
        <v>4</v>
      </c>
      <c r="Q60" s="4">
        <f>VLOOKUP(C60,CHECKS!A:I,8,FALSE)</f>
        <v>7</v>
      </c>
      <c r="R60">
        <v>58</v>
      </c>
    </row>
    <row r="61" spans="1:18" x14ac:dyDescent="0.2">
      <c r="A61" s="4">
        <v>600</v>
      </c>
      <c r="B61" s="2" t="s">
        <v>211</v>
      </c>
      <c r="C61" s="10" t="s">
        <v>93</v>
      </c>
      <c r="D61" s="11" t="s">
        <v>235</v>
      </c>
      <c r="E61" s="11" t="s">
        <v>258</v>
      </c>
      <c r="F61" s="11" t="s">
        <v>235</v>
      </c>
      <c r="G61" s="10">
        <f t="shared" si="0"/>
        <v>4</v>
      </c>
      <c r="H61" s="11" t="s">
        <v>1425</v>
      </c>
      <c r="I61" s="11"/>
      <c r="J61" s="11" t="s">
        <v>276</v>
      </c>
      <c r="K61" s="11" t="s">
        <v>1441</v>
      </c>
      <c r="L61" s="12">
        <v>48.864086574799998</v>
      </c>
      <c r="M61" s="12">
        <v>2.3807979861800002</v>
      </c>
      <c r="N61" s="4" t="str">
        <f>VLOOKUP(C61,CHECKS!A:I,9,FALSE)</f>
        <v>#837902</v>
      </c>
      <c r="O61" s="4">
        <f>VLOOKUP(C61,CHECKS!A:I,6,FALSE)</f>
        <v>1.29</v>
      </c>
      <c r="P61" s="4">
        <f>VLOOKUP(C61,CHECKS!A:I,7,FALSE)</f>
        <v>4</v>
      </c>
      <c r="Q61" s="4">
        <f>VLOOKUP(C61,CHECKS!A:I,8,FALSE)</f>
        <v>7</v>
      </c>
      <c r="R61">
        <v>59</v>
      </c>
    </row>
    <row r="62" spans="1:18" x14ac:dyDescent="0.2">
      <c r="A62" s="4">
        <v>610</v>
      </c>
      <c r="B62" s="2" t="s">
        <v>212</v>
      </c>
      <c r="C62" s="10" t="s">
        <v>93</v>
      </c>
      <c r="D62" s="11" t="s">
        <v>236</v>
      </c>
      <c r="E62" s="11" t="s">
        <v>1450</v>
      </c>
      <c r="F62" s="11" t="s">
        <v>236</v>
      </c>
      <c r="G62" s="10">
        <f t="shared" si="0"/>
        <v>2</v>
      </c>
      <c r="H62" s="11" t="s">
        <v>739</v>
      </c>
      <c r="I62" s="11"/>
      <c r="J62" s="11" t="s">
        <v>1828</v>
      </c>
      <c r="K62" s="11" t="s">
        <v>236</v>
      </c>
      <c r="L62" s="12">
        <v>48.873513389599999</v>
      </c>
      <c r="M62" s="12">
        <v>2.3275430803599999</v>
      </c>
      <c r="N62" s="4" t="str">
        <f>VLOOKUP(C62,CHECKS!A:I,9,FALSE)</f>
        <v>#837902</v>
      </c>
      <c r="O62" s="4">
        <f>VLOOKUP(C62,CHECKS!A:I,6,FALSE)</f>
        <v>1.29</v>
      </c>
      <c r="P62" s="4">
        <f>VLOOKUP(C62,CHECKS!A:I,7,FALSE)</f>
        <v>4</v>
      </c>
      <c r="Q62" s="4">
        <f>VLOOKUP(C62,CHECKS!A:I,8,FALSE)</f>
        <v>7</v>
      </c>
      <c r="R62">
        <v>60</v>
      </c>
    </row>
    <row r="63" spans="1:18" x14ac:dyDescent="0.2">
      <c r="A63" s="4">
        <v>620</v>
      </c>
      <c r="B63" s="2" t="s">
        <v>213</v>
      </c>
      <c r="C63" s="10" t="s">
        <v>93</v>
      </c>
      <c r="D63" s="11" t="s">
        <v>237</v>
      </c>
      <c r="E63" s="11" t="s">
        <v>1451</v>
      </c>
      <c r="F63" s="11" t="s">
        <v>237</v>
      </c>
      <c r="G63" s="10">
        <f t="shared" si="0"/>
        <v>4</v>
      </c>
      <c r="H63" s="11" t="s">
        <v>1414</v>
      </c>
      <c r="I63" s="11"/>
      <c r="J63" s="11" t="s">
        <v>1829</v>
      </c>
      <c r="K63" s="11" t="s">
        <v>1442</v>
      </c>
      <c r="L63" s="12">
        <v>48.870991783900003</v>
      </c>
      <c r="M63" s="12">
        <v>2.3319895226799998</v>
      </c>
      <c r="N63" s="4" t="str">
        <f>VLOOKUP(C63,CHECKS!A:I,9,FALSE)</f>
        <v>#837902</v>
      </c>
      <c r="O63" s="4">
        <f>VLOOKUP(C63,CHECKS!A:I,6,FALSE)</f>
        <v>1.29</v>
      </c>
      <c r="P63" s="4">
        <f>VLOOKUP(C63,CHECKS!A:I,7,FALSE)</f>
        <v>4</v>
      </c>
      <c r="Q63" s="4">
        <f>VLOOKUP(C63,CHECKS!A:I,8,FALSE)</f>
        <v>7</v>
      </c>
      <c r="R63">
        <v>61</v>
      </c>
    </row>
    <row r="64" spans="1:18" x14ac:dyDescent="0.2">
      <c r="A64" s="4">
        <v>630</v>
      </c>
      <c r="B64" s="2" t="s">
        <v>214</v>
      </c>
      <c r="C64" s="10" t="s">
        <v>93</v>
      </c>
      <c r="D64" s="11" t="s">
        <v>238</v>
      </c>
      <c r="E64" s="11" t="s">
        <v>1452</v>
      </c>
      <c r="F64" s="11" t="s">
        <v>238</v>
      </c>
      <c r="G64" s="10">
        <f t="shared" si="0"/>
        <v>1</v>
      </c>
      <c r="H64" s="11"/>
      <c r="I64" s="11"/>
      <c r="J64" s="11" t="s">
        <v>1830</v>
      </c>
      <c r="K64" s="11"/>
      <c r="L64" s="12">
        <v>48.869585243499998</v>
      </c>
      <c r="M64" s="12">
        <v>2.3362188475200001</v>
      </c>
      <c r="N64" s="4" t="str">
        <f>VLOOKUP(C64,CHECKS!A:I,9,FALSE)</f>
        <v>#837902</v>
      </c>
      <c r="O64" s="4">
        <f>VLOOKUP(C64,CHECKS!A:I,6,FALSE)</f>
        <v>1.29</v>
      </c>
      <c r="P64" s="4">
        <f>VLOOKUP(C64,CHECKS!A:I,7,FALSE)</f>
        <v>4</v>
      </c>
      <c r="Q64" s="4">
        <f>VLOOKUP(C64,CHECKS!A:I,8,FALSE)</f>
        <v>7</v>
      </c>
      <c r="R64">
        <v>62</v>
      </c>
    </row>
    <row r="65" spans="1:18" x14ac:dyDescent="0.2">
      <c r="A65" s="4">
        <v>640</v>
      </c>
      <c r="B65" s="2" t="s">
        <v>215</v>
      </c>
      <c r="C65" s="10" t="s">
        <v>93</v>
      </c>
      <c r="D65" s="11" t="s">
        <v>239</v>
      </c>
      <c r="E65" s="11" t="s">
        <v>1453</v>
      </c>
      <c r="F65" s="11" t="s">
        <v>239</v>
      </c>
      <c r="G65" s="10">
        <f t="shared" si="0"/>
        <v>1</v>
      </c>
      <c r="H65" s="11"/>
      <c r="I65" s="11"/>
      <c r="J65" s="11" t="s">
        <v>1831</v>
      </c>
      <c r="K65" s="11"/>
      <c r="L65" s="12">
        <v>48.868695977800002</v>
      </c>
      <c r="M65" s="12">
        <v>2.3407207236700001</v>
      </c>
      <c r="N65" s="4" t="str">
        <f>VLOOKUP(C65,CHECKS!A:I,9,FALSE)</f>
        <v>#837902</v>
      </c>
      <c r="O65" s="4">
        <f>VLOOKUP(C65,CHECKS!A:I,6,FALSE)</f>
        <v>1.29</v>
      </c>
      <c r="P65" s="4">
        <f>VLOOKUP(C65,CHECKS!A:I,7,FALSE)</f>
        <v>4</v>
      </c>
      <c r="Q65" s="4">
        <f>VLOOKUP(C65,CHECKS!A:I,8,FALSE)</f>
        <v>7</v>
      </c>
      <c r="R65">
        <v>63</v>
      </c>
    </row>
    <row r="66" spans="1:18" x14ac:dyDescent="0.2">
      <c r="A66" s="4">
        <v>650</v>
      </c>
      <c r="B66" s="2" t="s">
        <v>216</v>
      </c>
      <c r="C66" s="10" t="s">
        <v>93</v>
      </c>
      <c r="D66" s="11" t="s">
        <v>240</v>
      </c>
      <c r="E66" s="11" t="s">
        <v>1454</v>
      </c>
      <c r="F66" s="11" t="s">
        <v>240</v>
      </c>
      <c r="G66" s="10">
        <f t="shared" ref="G66:G129" si="1">COUNTIF(F:F,F66)</f>
        <v>1</v>
      </c>
      <c r="H66" s="11"/>
      <c r="I66" s="11"/>
      <c r="J66" s="11" t="s">
        <v>1832</v>
      </c>
      <c r="K66" s="11"/>
      <c r="L66" s="12">
        <v>48.867309474999999</v>
      </c>
      <c r="M66" s="12">
        <v>2.34751621328</v>
      </c>
      <c r="N66" s="4" t="str">
        <f>VLOOKUP(C66,CHECKS!A:I,9,FALSE)</f>
        <v>#837902</v>
      </c>
      <c r="O66" s="4">
        <f>VLOOKUP(C66,CHECKS!A:I,6,FALSE)</f>
        <v>1.29</v>
      </c>
      <c r="P66" s="4">
        <f>VLOOKUP(C66,CHECKS!A:I,7,FALSE)</f>
        <v>4</v>
      </c>
      <c r="Q66" s="4">
        <f>VLOOKUP(C66,CHECKS!A:I,8,FALSE)</f>
        <v>7</v>
      </c>
      <c r="R66">
        <v>64</v>
      </c>
    </row>
    <row r="67" spans="1:18" x14ac:dyDescent="0.2">
      <c r="A67" s="4">
        <v>660</v>
      </c>
      <c r="B67" s="2" t="s">
        <v>217</v>
      </c>
      <c r="C67" s="10" t="s">
        <v>93</v>
      </c>
      <c r="D67" s="11" t="s">
        <v>241</v>
      </c>
      <c r="E67" s="11" t="s">
        <v>1455</v>
      </c>
      <c r="F67" s="11" t="s">
        <v>241</v>
      </c>
      <c r="G67" s="10">
        <f t="shared" si="1"/>
        <v>2</v>
      </c>
      <c r="H67" s="11" t="s">
        <v>288</v>
      </c>
      <c r="I67" s="11"/>
      <c r="J67" s="11" t="s">
        <v>1833</v>
      </c>
      <c r="K67" s="11" t="s">
        <v>241</v>
      </c>
      <c r="L67" s="12">
        <v>48.866340299299999</v>
      </c>
      <c r="M67" s="12">
        <v>2.3520683180500002</v>
      </c>
      <c r="N67" s="4" t="str">
        <f>VLOOKUP(C67,CHECKS!A:I,9,FALSE)</f>
        <v>#837902</v>
      </c>
      <c r="O67" s="4">
        <f>VLOOKUP(C67,CHECKS!A:I,6,FALSE)</f>
        <v>1.29</v>
      </c>
      <c r="P67" s="4">
        <f>VLOOKUP(C67,CHECKS!A:I,7,FALSE)</f>
        <v>4</v>
      </c>
      <c r="Q67" s="4">
        <f>VLOOKUP(C67,CHECKS!A:I,8,FALSE)</f>
        <v>7</v>
      </c>
      <c r="R67">
        <v>65</v>
      </c>
    </row>
    <row r="68" spans="1:18" x14ac:dyDescent="0.2">
      <c r="A68" s="4">
        <v>670</v>
      </c>
      <c r="B68" s="2" t="s">
        <v>218</v>
      </c>
      <c r="C68" s="10" t="s">
        <v>93</v>
      </c>
      <c r="D68" s="11" t="s">
        <v>242</v>
      </c>
      <c r="E68" s="11" t="s">
        <v>1456</v>
      </c>
      <c r="F68" s="11" t="s">
        <v>242</v>
      </c>
      <c r="G68" s="10">
        <f t="shared" si="1"/>
        <v>2</v>
      </c>
      <c r="H68" s="11" t="s">
        <v>972</v>
      </c>
      <c r="I68" s="11"/>
      <c r="J68" s="11" t="s">
        <v>1834</v>
      </c>
      <c r="K68" s="11" t="s">
        <v>242</v>
      </c>
      <c r="L68" s="12">
        <v>48.865586477599997</v>
      </c>
      <c r="M68" s="12">
        <v>2.3567367568100002</v>
      </c>
      <c r="N68" s="4" t="str">
        <f>VLOOKUP(C68,CHECKS!A:I,9,FALSE)</f>
        <v>#837902</v>
      </c>
      <c r="O68" s="4">
        <f>VLOOKUP(C68,CHECKS!A:I,6,FALSE)</f>
        <v>1.29</v>
      </c>
      <c r="P68" s="4">
        <f>VLOOKUP(C68,CHECKS!A:I,7,FALSE)</f>
        <v>4</v>
      </c>
      <c r="Q68" s="4">
        <f>VLOOKUP(C68,CHECKS!A:I,8,FALSE)</f>
        <v>7</v>
      </c>
      <c r="R68">
        <v>66</v>
      </c>
    </row>
    <row r="69" spans="1:18" x14ac:dyDescent="0.2">
      <c r="A69" s="4">
        <v>680</v>
      </c>
      <c r="B69" s="2" t="s">
        <v>219</v>
      </c>
      <c r="C69" s="10" t="s">
        <v>93</v>
      </c>
      <c r="D69" s="11" t="s">
        <v>243</v>
      </c>
      <c r="E69" s="11" t="s">
        <v>1457</v>
      </c>
      <c r="F69" s="11" t="s">
        <v>243</v>
      </c>
      <c r="G69" s="10">
        <f t="shared" si="1"/>
        <v>1</v>
      </c>
      <c r="H69" s="11"/>
      <c r="I69" s="11"/>
      <c r="J69" s="11" t="s">
        <v>1835</v>
      </c>
      <c r="K69" s="11"/>
      <c r="L69" s="12">
        <v>48.8666826802</v>
      </c>
      <c r="M69" s="12">
        <v>2.3615415320699999</v>
      </c>
      <c r="N69" s="4" t="str">
        <f>VLOOKUP(C69,CHECKS!A:I,9,FALSE)</f>
        <v>#837902</v>
      </c>
      <c r="O69" s="4">
        <f>VLOOKUP(C69,CHECKS!A:I,6,FALSE)</f>
        <v>1.29</v>
      </c>
      <c r="P69" s="4">
        <f>VLOOKUP(C69,CHECKS!A:I,7,FALSE)</f>
        <v>4</v>
      </c>
      <c r="Q69" s="4">
        <f>VLOOKUP(C69,CHECKS!A:I,8,FALSE)</f>
        <v>7</v>
      </c>
      <c r="R69">
        <v>67</v>
      </c>
    </row>
    <row r="70" spans="1:18" x14ac:dyDescent="0.2">
      <c r="A70" s="4">
        <v>690</v>
      </c>
      <c r="B70" s="2" t="s">
        <v>220</v>
      </c>
      <c r="C70" s="10" t="s">
        <v>93</v>
      </c>
      <c r="D70" s="11" t="s">
        <v>244</v>
      </c>
      <c r="E70" s="11" t="s">
        <v>1458</v>
      </c>
      <c r="F70" s="11" t="s">
        <v>244</v>
      </c>
      <c r="G70" s="10">
        <f t="shared" si="1"/>
        <v>5</v>
      </c>
      <c r="H70" s="11" t="s">
        <v>1420</v>
      </c>
      <c r="I70" s="11"/>
      <c r="J70" s="11" t="s">
        <v>1836</v>
      </c>
      <c r="K70" s="11" t="s">
        <v>1443</v>
      </c>
      <c r="L70" s="12">
        <v>48.867026787599997</v>
      </c>
      <c r="M70" s="12">
        <v>2.3642479937499998</v>
      </c>
      <c r="N70" s="4" t="str">
        <f>VLOOKUP(C70,CHECKS!A:I,9,FALSE)</f>
        <v>#837902</v>
      </c>
      <c r="O70" s="4">
        <f>VLOOKUP(C70,CHECKS!A:I,6,FALSE)</f>
        <v>1.29</v>
      </c>
      <c r="P70" s="4">
        <f>VLOOKUP(C70,CHECKS!A:I,7,FALSE)</f>
        <v>4</v>
      </c>
      <c r="Q70" s="4">
        <f>VLOOKUP(C70,CHECKS!A:I,8,FALSE)</f>
        <v>7</v>
      </c>
      <c r="R70">
        <v>68</v>
      </c>
    </row>
    <row r="71" spans="1:18" x14ac:dyDescent="0.2">
      <c r="A71" s="4">
        <v>700</v>
      </c>
      <c r="B71" s="2" t="s">
        <v>221</v>
      </c>
      <c r="C71" s="10" t="s">
        <v>93</v>
      </c>
      <c r="D71" s="11" t="s">
        <v>245</v>
      </c>
      <c r="E71" s="11" t="s">
        <v>1459</v>
      </c>
      <c r="F71" s="11" t="s">
        <v>245</v>
      </c>
      <c r="G71" s="10">
        <f t="shared" si="1"/>
        <v>1</v>
      </c>
      <c r="H71" s="11"/>
      <c r="I71" s="11"/>
      <c r="J71" s="11" t="s">
        <v>1837</v>
      </c>
      <c r="K71" s="11"/>
      <c r="L71" s="12">
        <v>48.865253786099998</v>
      </c>
      <c r="M71" s="12">
        <v>2.3745819699999999</v>
      </c>
      <c r="N71" s="4" t="str">
        <f>VLOOKUP(C71,CHECKS!A:I,9,FALSE)</f>
        <v>#837902</v>
      </c>
      <c r="O71" s="4">
        <f>VLOOKUP(C71,CHECKS!A:I,6,FALSE)</f>
        <v>1.29</v>
      </c>
      <c r="P71" s="4">
        <f>VLOOKUP(C71,CHECKS!A:I,7,FALSE)</f>
        <v>4</v>
      </c>
      <c r="Q71" s="4">
        <f>VLOOKUP(C71,CHECKS!A:I,8,FALSE)</f>
        <v>7</v>
      </c>
      <c r="R71">
        <v>69</v>
      </c>
    </row>
    <row r="72" spans="1:18" x14ac:dyDescent="0.2">
      <c r="A72" s="4">
        <v>710</v>
      </c>
      <c r="B72" s="2" t="s">
        <v>222</v>
      </c>
      <c r="C72" s="10" t="s">
        <v>93</v>
      </c>
      <c r="D72" s="11" t="s">
        <v>246</v>
      </c>
      <c r="E72" s="11" t="s">
        <v>1460</v>
      </c>
      <c r="F72" s="11" t="s">
        <v>246</v>
      </c>
      <c r="G72" s="10">
        <f t="shared" si="1"/>
        <v>1</v>
      </c>
      <c r="H72" s="11"/>
      <c r="I72" s="11"/>
      <c r="J72" s="11" t="s">
        <v>1838</v>
      </c>
      <c r="K72" s="11"/>
      <c r="L72" s="12">
        <v>48.875006398099998</v>
      </c>
      <c r="M72" s="12">
        <v>2.3245748102900001</v>
      </c>
      <c r="N72" s="4" t="str">
        <f>VLOOKUP(C72,CHECKS!A:I,9,FALSE)</f>
        <v>#837902</v>
      </c>
      <c r="O72" s="4">
        <f>VLOOKUP(C72,CHECKS!A:I,6,FALSE)</f>
        <v>1.29</v>
      </c>
      <c r="P72" s="4">
        <f>VLOOKUP(C72,CHECKS!A:I,7,FALSE)</f>
        <v>4</v>
      </c>
      <c r="Q72" s="4">
        <f>VLOOKUP(C72,CHECKS!A:I,8,FALSE)</f>
        <v>7</v>
      </c>
      <c r="R72">
        <v>70</v>
      </c>
    </row>
    <row r="73" spans="1:18" x14ac:dyDescent="0.2">
      <c r="A73" s="4">
        <v>720</v>
      </c>
      <c r="B73" s="2" t="s">
        <v>223</v>
      </c>
      <c r="C73" s="10" t="s">
        <v>93</v>
      </c>
      <c r="D73" s="11" t="s">
        <v>127</v>
      </c>
      <c r="E73" s="11" t="s">
        <v>1461</v>
      </c>
      <c r="F73" s="11" t="s">
        <v>127</v>
      </c>
      <c r="G73" s="10">
        <f t="shared" si="1"/>
        <v>2</v>
      </c>
      <c r="H73" s="11" t="s">
        <v>151</v>
      </c>
      <c r="I73" s="11"/>
      <c r="J73" s="11" t="s">
        <v>1839</v>
      </c>
      <c r="K73" s="11" t="s">
        <v>127</v>
      </c>
      <c r="L73" s="12">
        <v>48.863123214600002</v>
      </c>
      <c r="M73" s="12">
        <v>2.3858824493299999</v>
      </c>
      <c r="N73" s="4" t="str">
        <f>VLOOKUP(C73,CHECKS!A:I,9,FALSE)</f>
        <v>#837902</v>
      </c>
      <c r="O73" s="4">
        <f>VLOOKUP(C73,CHECKS!A:I,6,FALSE)</f>
        <v>1.29</v>
      </c>
      <c r="P73" s="4">
        <f>VLOOKUP(C73,CHECKS!A:I,7,FALSE)</f>
        <v>4</v>
      </c>
      <c r="Q73" s="4">
        <f>VLOOKUP(C73,CHECKS!A:I,8,FALSE)</f>
        <v>7</v>
      </c>
      <c r="R73">
        <v>71</v>
      </c>
    </row>
    <row r="74" spans="1:18" x14ac:dyDescent="0.2">
      <c r="A74" s="4">
        <v>730</v>
      </c>
      <c r="B74" s="2" t="s">
        <v>224</v>
      </c>
      <c r="C74" s="10" t="s">
        <v>93</v>
      </c>
      <c r="D74" s="11" t="s">
        <v>247</v>
      </c>
      <c r="E74" s="11" t="s">
        <v>1462</v>
      </c>
      <c r="F74" s="11" t="s">
        <v>247</v>
      </c>
      <c r="G74" s="10">
        <f t="shared" si="1"/>
        <v>2</v>
      </c>
      <c r="H74" s="11" t="s">
        <v>266</v>
      </c>
      <c r="I74" s="11"/>
      <c r="J74" s="11" t="s">
        <v>1840</v>
      </c>
      <c r="K74" s="11" t="s">
        <v>247</v>
      </c>
      <c r="L74" s="12">
        <v>48.864916685099999</v>
      </c>
      <c r="M74" s="12">
        <v>2.39898444025</v>
      </c>
      <c r="N74" s="4" t="str">
        <f>VLOOKUP(C74,CHECKS!A:I,9,FALSE)</f>
        <v>#837902</v>
      </c>
      <c r="O74" s="4">
        <f>VLOOKUP(C74,CHECKS!A:I,6,FALSE)</f>
        <v>1.29</v>
      </c>
      <c r="P74" s="4">
        <f>VLOOKUP(C74,CHECKS!A:I,7,FALSE)</f>
        <v>4</v>
      </c>
      <c r="Q74" s="4">
        <f>VLOOKUP(C74,CHECKS!A:I,8,FALSE)</f>
        <v>7</v>
      </c>
      <c r="R74">
        <v>72</v>
      </c>
    </row>
    <row r="75" spans="1:18" x14ac:dyDescent="0.2">
      <c r="A75" s="4">
        <v>740</v>
      </c>
      <c r="B75" s="2" t="s">
        <v>225</v>
      </c>
      <c r="C75" s="10" t="s">
        <v>93</v>
      </c>
      <c r="D75" s="11" t="s">
        <v>248</v>
      </c>
      <c r="E75" s="11" t="s">
        <v>1463</v>
      </c>
      <c r="F75" s="11" t="s">
        <v>248</v>
      </c>
      <c r="G75" s="10">
        <f t="shared" si="1"/>
        <v>2</v>
      </c>
      <c r="H75" s="11"/>
      <c r="I75" s="11" t="s">
        <v>1783</v>
      </c>
      <c r="J75" s="11" t="s">
        <v>1841</v>
      </c>
      <c r="K75" s="11"/>
      <c r="L75" s="12">
        <v>48.864600373400002</v>
      </c>
      <c r="M75" s="12">
        <v>2.4080310370800002</v>
      </c>
      <c r="N75" s="4" t="str">
        <f>VLOOKUP(C75,CHECKS!A:I,9,FALSE)</f>
        <v>#837902</v>
      </c>
      <c r="O75" s="4">
        <f>VLOOKUP(C75,CHECKS!A:I,6,FALSE)</f>
        <v>1.29</v>
      </c>
      <c r="P75" s="4">
        <f>VLOOKUP(C75,CHECKS!A:I,7,FALSE)</f>
        <v>4</v>
      </c>
      <c r="Q75" s="4">
        <f>VLOOKUP(C75,CHECKS!A:I,8,FALSE)</f>
        <v>7</v>
      </c>
      <c r="R75">
        <v>73</v>
      </c>
    </row>
    <row r="76" spans="1:18" x14ac:dyDescent="0.2">
      <c r="A76" s="4">
        <v>750</v>
      </c>
      <c r="B76" s="2" t="s">
        <v>226</v>
      </c>
      <c r="C76" s="10" t="s">
        <v>93</v>
      </c>
      <c r="D76" s="11" t="s">
        <v>249</v>
      </c>
      <c r="E76" s="11" t="s">
        <v>225</v>
      </c>
      <c r="F76" s="11" t="s">
        <v>249</v>
      </c>
      <c r="G76" s="10">
        <f t="shared" si="1"/>
        <v>1</v>
      </c>
      <c r="H76" s="11"/>
      <c r="I76" s="11"/>
      <c r="J76" s="11" t="s">
        <v>248</v>
      </c>
      <c r="K76" s="11"/>
      <c r="L76" s="12">
        <v>48.865335317300001</v>
      </c>
      <c r="M76" s="12">
        <v>2.41669727286</v>
      </c>
      <c r="N76" s="4" t="str">
        <f>VLOOKUP(C76,CHECKS!A:I,9,FALSE)</f>
        <v>#837902</v>
      </c>
      <c r="O76" s="4">
        <f>VLOOKUP(C76,CHECKS!A:I,6,FALSE)</f>
        <v>1.29</v>
      </c>
      <c r="P76" s="4">
        <f>VLOOKUP(C76,CHECKS!A:I,7,FALSE)</f>
        <v>4</v>
      </c>
      <c r="Q76" s="4">
        <f>VLOOKUP(C76,CHECKS!A:I,8,FALSE)</f>
        <v>7</v>
      </c>
      <c r="R76">
        <v>74</v>
      </c>
    </row>
    <row r="77" spans="1:18" x14ac:dyDescent="0.2">
      <c r="A77" s="4">
        <v>760</v>
      </c>
      <c r="B77" s="2" t="s">
        <v>263</v>
      </c>
      <c r="C77" s="4" t="s">
        <v>262</v>
      </c>
      <c r="D77" s="2" t="s">
        <v>259</v>
      </c>
      <c r="E77" s="2" t="s">
        <v>264</v>
      </c>
      <c r="F77" s="2" t="s">
        <v>259</v>
      </c>
      <c r="G77" s="4">
        <f t="shared" si="1"/>
        <v>3</v>
      </c>
      <c r="H77" s="2" t="s">
        <v>980</v>
      </c>
      <c r="I77" s="2" t="s">
        <v>1789</v>
      </c>
      <c r="J77" s="2" t="s">
        <v>260</v>
      </c>
      <c r="K77" s="2" t="s">
        <v>259</v>
      </c>
      <c r="L77" s="7">
        <v>48.877110511799998</v>
      </c>
      <c r="M77" s="7">
        <v>2.4067292455399998</v>
      </c>
      <c r="N77" s="4" t="str">
        <f>VLOOKUP(C77,CHECKS!A:I,9,FALSE)</f>
        <v>#6EC4E8</v>
      </c>
      <c r="O77" s="4">
        <f>VLOOKUP(C77,CHECKS!A:I,6,FALSE)</f>
        <v>1.33</v>
      </c>
      <c r="P77" s="4">
        <f>VLOOKUP(C77,CHECKS!A:I,7,FALSE)</f>
        <v>4</v>
      </c>
      <c r="Q77" s="4">
        <f>VLOOKUP(C77,CHECKS!A:I,8,FALSE)</f>
        <v>7</v>
      </c>
      <c r="R77">
        <v>75</v>
      </c>
    </row>
    <row r="78" spans="1:18" x14ac:dyDescent="0.2">
      <c r="A78" s="4">
        <v>770</v>
      </c>
      <c r="B78" s="2" t="s">
        <v>264</v>
      </c>
      <c r="C78" s="4" t="s">
        <v>262</v>
      </c>
      <c r="D78" s="2" t="s">
        <v>260</v>
      </c>
      <c r="E78" s="2" t="s">
        <v>1269</v>
      </c>
      <c r="F78" s="2" t="s">
        <v>260</v>
      </c>
      <c r="G78" s="4">
        <f t="shared" si="1"/>
        <v>1</v>
      </c>
      <c r="J78" s="2" t="s">
        <v>277</v>
      </c>
      <c r="L78" s="7">
        <v>48.872101442100004</v>
      </c>
      <c r="M78" s="7">
        <v>2.4045149423800001</v>
      </c>
      <c r="N78" s="4" t="str">
        <f>VLOOKUP(C78,CHECKS!A:I,9,FALSE)</f>
        <v>#6EC4E8</v>
      </c>
      <c r="O78" s="4">
        <f>VLOOKUP(C78,CHECKS!A:I,6,FALSE)</f>
        <v>1.33</v>
      </c>
      <c r="P78" s="4">
        <f>VLOOKUP(C78,CHECKS!A:I,7,FALSE)</f>
        <v>4</v>
      </c>
      <c r="Q78" s="4">
        <f>VLOOKUP(C78,CHECKS!A:I,8,FALSE)</f>
        <v>7</v>
      </c>
      <c r="R78">
        <v>76</v>
      </c>
    </row>
    <row r="79" spans="1:18" x14ac:dyDescent="0.2">
      <c r="A79" s="4">
        <v>780</v>
      </c>
      <c r="B79" s="2" t="s">
        <v>265</v>
      </c>
      <c r="C79" s="4" t="s">
        <v>262</v>
      </c>
      <c r="D79" s="2" t="s">
        <v>261</v>
      </c>
      <c r="E79" s="2" t="s">
        <v>1270</v>
      </c>
      <c r="F79" s="2" t="s">
        <v>261</v>
      </c>
      <c r="G79" s="4">
        <f t="shared" si="1"/>
        <v>1</v>
      </c>
      <c r="J79" s="2" t="s">
        <v>278</v>
      </c>
      <c r="L79" s="7">
        <v>48.868440163300001</v>
      </c>
      <c r="M79" s="7">
        <v>2.40156171274</v>
      </c>
      <c r="N79" s="4" t="str">
        <f>VLOOKUP(C79,CHECKS!A:I,9,FALSE)</f>
        <v>#6EC4E8</v>
      </c>
      <c r="O79" s="4">
        <f>VLOOKUP(C79,CHECKS!A:I,6,FALSE)</f>
        <v>1.33</v>
      </c>
      <c r="P79" s="4">
        <f>VLOOKUP(C79,CHECKS!A:I,7,FALSE)</f>
        <v>4</v>
      </c>
      <c r="Q79" s="4">
        <f>VLOOKUP(C79,CHECKS!A:I,8,FALSE)</f>
        <v>7</v>
      </c>
      <c r="R79">
        <v>77</v>
      </c>
    </row>
    <row r="80" spans="1:18" x14ac:dyDescent="0.2">
      <c r="A80" s="4">
        <v>790</v>
      </c>
      <c r="B80" s="2" t="s">
        <v>266</v>
      </c>
      <c r="C80" s="4" t="s">
        <v>262</v>
      </c>
      <c r="D80" s="2" t="s">
        <v>247</v>
      </c>
      <c r="E80" s="2" t="s">
        <v>265</v>
      </c>
      <c r="F80" s="2" t="s">
        <v>247</v>
      </c>
      <c r="G80" s="4">
        <f t="shared" si="1"/>
        <v>2</v>
      </c>
      <c r="H80" s="2" t="s">
        <v>224</v>
      </c>
      <c r="J80" s="2" t="s">
        <v>261</v>
      </c>
      <c r="K80" s="2" t="s">
        <v>247</v>
      </c>
      <c r="L80" s="7">
        <v>48.865163434899998</v>
      </c>
      <c r="M80" s="7">
        <v>2.3987465934399999</v>
      </c>
      <c r="N80" s="4" t="str">
        <f>VLOOKUP(C80,CHECKS!A:I,9,FALSE)</f>
        <v>#6EC4E8</v>
      </c>
      <c r="O80" s="4">
        <f>VLOOKUP(C80,CHECKS!A:I,6,FALSE)</f>
        <v>1.33</v>
      </c>
      <c r="P80" s="4">
        <f>VLOOKUP(C80,CHECKS!A:I,7,FALSE)</f>
        <v>4</v>
      </c>
      <c r="Q80" s="4">
        <f>VLOOKUP(C80,CHECKS!A:I,8,FALSE)</f>
        <v>7</v>
      </c>
      <c r="R80">
        <v>78</v>
      </c>
    </row>
    <row r="81" spans="1:18" x14ac:dyDescent="0.2">
      <c r="A81" s="4">
        <v>800</v>
      </c>
      <c r="B81" s="2" t="s">
        <v>279</v>
      </c>
      <c r="C81" s="4" t="s">
        <v>94</v>
      </c>
      <c r="D81" s="2" t="s">
        <v>306</v>
      </c>
      <c r="E81" s="2" t="s">
        <v>280</v>
      </c>
      <c r="F81" s="2" t="s">
        <v>306</v>
      </c>
      <c r="G81" s="4">
        <f t="shared" si="1"/>
        <v>2</v>
      </c>
      <c r="I81" s="2" t="s">
        <v>1815</v>
      </c>
      <c r="J81" s="2" t="s">
        <v>307</v>
      </c>
      <c r="L81" s="7">
        <v>48.897402222899998</v>
      </c>
      <c r="M81" s="7">
        <v>2.3448477487499999</v>
      </c>
      <c r="N81" s="4" t="str">
        <f>VLOOKUP(C81,CHECKS!A:I,9,FALSE)</f>
        <v>#CF009E</v>
      </c>
      <c r="O81" s="4">
        <f>VLOOKUP(C81,CHECKS!A:I,6,FALSE)</f>
        <v>1.1200000000000001</v>
      </c>
      <c r="P81" s="4">
        <f>VLOOKUP(C81,CHECKS!A:I,7,FALSE)</f>
        <v>4</v>
      </c>
      <c r="Q81" s="4">
        <f>VLOOKUP(C81,CHECKS!A:I,8,FALSE)</f>
        <v>7</v>
      </c>
      <c r="R81">
        <v>79</v>
      </c>
    </row>
    <row r="82" spans="1:18" x14ac:dyDescent="0.2">
      <c r="A82" s="4">
        <v>810</v>
      </c>
      <c r="B82" s="2" t="s">
        <v>280</v>
      </c>
      <c r="C82" s="4" t="s">
        <v>94</v>
      </c>
      <c r="D82" s="2" t="s">
        <v>307</v>
      </c>
      <c r="E82" s="2" t="s">
        <v>329</v>
      </c>
      <c r="F82" s="2" t="s">
        <v>307</v>
      </c>
      <c r="G82" s="4">
        <f t="shared" si="1"/>
        <v>1</v>
      </c>
      <c r="J82" s="2" t="s">
        <v>354</v>
      </c>
      <c r="L82" s="7">
        <v>48.893941388000002</v>
      </c>
      <c r="M82" s="7">
        <v>2.3477655017200001</v>
      </c>
      <c r="N82" s="4" t="str">
        <f>VLOOKUP(C82,CHECKS!A:I,9,FALSE)</f>
        <v>#CF009E</v>
      </c>
      <c r="O82" s="4">
        <f>VLOOKUP(C82,CHECKS!A:I,6,FALSE)</f>
        <v>1.1200000000000001</v>
      </c>
      <c r="P82" s="4">
        <f>VLOOKUP(C82,CHECKS!A:I,7,FALSE)</f>
        <v>4</v>
      </c>
      <c r="Q82" s="4">
        <f>VLOOKUP(C82,CHECKS!A:I,8,FALSE)</f>
        <v>7</v>
      </c>
      <c r="R82">
        <v>80</v>
      </c>
    </row>
    <row r="83" spans="1:18" x14ac:dyDescent="0.2">
      <c r="A83" s="4">
        <v>820</v>
      </c>
      <c r="B83" s="2" t="s">
        <v>281</v>
      </c>
      <c r="C83" s="4" t="s">
        <v>94</v>
      </c>
      <c r="D83" s="2" t="s">
        <v>308</v>
      </c>
      <c r="E83" s="2" t="s">
        <v>330</v>
      </c>
      <c r="F83" s="2" t="s">
        <v>308</v>
      </c>
      <c r="G83" s="4">
        <f t="shared" si="1"/>
        <v>2</v>
      </c>
      <c r="H83" s="2" t="s">
        <v>985</v>
      </c>
      <c r="J83" s="2" t="s">
        <v>355</v>
      </c>
      <c r="K83" s="2" t="s">
        <v>308</v>
      </c>
      <c r="L83" s="7">
        <v>48.891416834200001</v>
      </c>
      <c r="M83" s="7">
        <v>2.3497384070199998</v>
      </c>
      <c r="N83" s="4" t="str">
        <f>VLOOKUP(C83,CHECKS!A:I,9,FALSE)</f>
        <v>#CF009E</v>
      </c>
      <c r="O83" s="4">
        <f>VLOOKUP(C83,CHECKS!A:I,6,FALSE)</f>
        <v>1.1200000000000001</v>
      </c>
      <c r="P83" s="4">
        <f>VLOOKUP(C83,CHECKS!A:I,7,FALSE)</f>
        <v>4</v>
      </c>
      <c r="Q83" s="4">
        <f>VLOOKUP(C83,CHECKS!A:I,8,FALSE)</f>
        <v>7</v>
      </c>
      <c r="R83">
        <v>81</v>
      </c>
    </row>
    <row r="84" spans="1:18" x14ac:dyDescent="0.2">
      <c r="A84" s="4">
        <v>830</v>
      </c>
      <c r="B84" s="2" t="s">
        <v>282</v>
      </c>
      <c r="C84" s="4" t="s">
        <v>94</v>
      </c>
      <c r="D84" s="2" t="s">
        <v>309</v>
      </c>
      <c r="E84" s="2" t="s">
        <v>331</v>
      </c>
      <c r="F84" s="2" t="s">
        <v>309</v>
      </c>
      <c r="G84" s="4">
        <f t="shared" si="1"/>
        <v>1</v>
      </c>
      <c r="J84" s="2" t="s">
        <v>356</v>
      </c>
      <c r="L84" s="7">
        <v>48.887374910600002</v>
      </c>
      <c r="M84" s="7">
        <v>2.3496940822000001</v>
      </c>
      <c r="N84" s="4" t="str">
        <f>VLOOKUP(C84,CHECKS!A:I,9,FALSE)</f>
        <v>#CF009E</v>
      </c>
      <c r="O84" s="4">
        <f>VLOOKUP(C84,CHECKS!A:I,6,FALSE)</f>
        <v>1.1200000000000001</v>
      </c>
      <c r="P84" s="4">
        <f>VLOOKUP(C84,CHECKS!A:I,7,FALSE)</f>
        <v>4</v>
      </c>
      <c r="Q84" s="4">
        <f>VLOOKUP(C84,CHECKS!A:I,8,FALSE)</f>
        <v>7</v>
      </c>
      <c r="R84">
        <v>82</v>
      </c>
    </row>
    <row r="85" spans="1:18" x14ac:dyDescent="0.2">
      <c r="A85" s="4">
        <v>840</v>
      </c>
      <c r="B85" s="2" t="s">
        <v>283</v>
      </c>
      <c r="C85" s="4" t="s">
        <v>94</v>
      </c>
      <c r="D85" s="2" t="s">
        <v>119</v>
      </c>
      <c r="E85" s="2" t="s">
        <v>332</v>
      </c>
      <c r="F85" s="2" t="s">
        <v>119</v>
      </c>
      <c r="G85" s="4">
        <f t="shared" si="1"/>
        <v>2</v>
      </c>
      <c r="H85" s="2" t="s">
        <v>143</v>
      </c>
      <c r="J85" s="2" t="s">
        <v>357</v>
      </c>
      <c r="K85" s="2" t="s">
        <v>119</v>
      </c>
      <c r="L85" s="7">
        <v>48.883436188099999</v>
      </c>
      <c r="M85" s="7">
        <v>2.3497744436499999</v>
      </c>
      <c r="N85" s="4" t="str">
        <f>VLOOKUP(C85,CHECKS!A:I,9,FALSE)</f>
        <v>#CF009E</v>
      </c>
      <c r="O85" s="4">
        <f>VLOOKUP(C85,CHECKS!A:I,6,FALSE)</f>
        <v>1.1200000000000001</v>
      </c>
      <c r="P85" s="4">
        <f>VLOOKUP(C85,CHECKS!A:I,7,FALSE)</f>
        <v>4</v>
      </c>
      <c r="Q85" s="4">
        <f>VLOOKUP(C85,CHECKS!A:I,8,FALSE)</f>
        <v>7</v>
      </c>
      <c r="R85">
        <v>83</v>
      </c>
    </row>
    <row r="86" spans="1:18" x14ac:dyDescent="0.2">
      <c r="A86" s="4">
        <v>850</v>
      </c>
      <c r="B86" s="2" t="s">
        <v>284</v>
      </c>
      <c r="C86" s="4" t="s">
        <v>94</v>
      </c>
      <c r="D86" s="2" t="s">
        <v>310</v>
      </c>
      <c r="E86" s="2" t="s">
        <v>333</v>
      </c>
      <c r="F86" s="2" t="s">
        <v>310</v>
      </c>
      <c r="G86" s="4">
        <f t="shared" si="1"/>
        <v>3</v>
      </c>
      <c r="H86" s="2" t="s">
        <v>2613</v>
      </c>
      <c r="I86" s="2" t="s">
        <v>2497</v>
      </c>
      <c r="J86" s="2" t="s">
        <v>358</v>
      </c>
      <c r="K86" s="2" t="s">
        <v>2618</v>
      </c>
      <c r="L86" s="7">
        <v>48.879551284400002</v>
      </c>
      <c r="M86" s="7">
        <v>2.3569951640100002</v>
      </c>
      <c r="N86" s="4" t="str">
        <f>VLOOKUP(C86,CHECKS!A:I,9,FALSE)</f>
        <v>#CF009E</v>
      </c>
      <c r="O86" s="4">
        <f>VLOOKUP(C86,CHECKS!A:I,6,FALSE)</f>
        <v>1.1200000000000001</v>
      </c>
      <c r="P86" s="4">
        <f>VLOOKUP(C86,CHECKS!A:I,7,FALSE)</f>
        <v>4</v>
      </c>
      <c r="Q86" s="4">
        <f>VLOOKUP(C86,CHECKS!A:I,8,FALSE)</f>
        <v>7</v>
      </c>
      <c r="R86">
        <v>84</v>
      </c>
    </row>
    <row r="87" spans="1:18" x14ac:dyDescent="0.2">
      <c r="A87" s="4">
        <v>860</v>
      </c>
      <c r="B87" s="2" t="s">
        <v>285</v>
      </c>
      <c r="C87" s="4" t="s">
        <v>94</v>
      </c>
      <c r="D87" s="2" t="s">
        <v>311</v>
      </c>
      <c r="E87" s="2" t="s">
        <v>334</v>
      </c>
      <c r="F87" s="2" t="s">
        <v>311</v>
      </c>
      <c r="G87" s="4">
        <f t="shared" si="1"/>
        <v>3</v>
      </c>
      <c r="H87" s="2" t="s">
        <v>1396</v>
      </c>
      <c r="J87" s="2" t="s">
        <v>359</v>
      </c>
      <c r="K87" s="2" t="s">
        <v>1444</v>
      </c>
      <c r="L87" s="7">
        <v>48.875991064799997</v>
      </c>
      <c r="M87" s="7">
        <v>2.3578807719300001</v>
      </c>
      <c r="N87" s="4" t="str">
        <f>VLOOKUP(C87,CHECKS!A:I,9,FALSE)</f>
        <v>#CF009E</v>
      </c>
      <c r="O87" s="4">
        <f>VLOOKUP(C87,CHECKS!A:I,6,FALSE)</f>
        <v>1.1200000000000001</v>
      </c>
      <c r="P87" s="4">
        <f>VLOOKUP(C87,CHECKS!A:I,7,FALSE)</f>
        <v>4</v>
      </c>
      <c r="Q87" s="4">
        <f>VLOOKUP(C87,CHECKS!A:I,8,FALSE)</f>
        <v>7</v>
      </c>
      <c r="R87">
        <v>85</v>
      </c>
    </row>
    <row r="88" spans="1:18" x14ac:dyDescent="0.2">
      <c r="A88" s="4">
        <v>870</v>
      </c>
      <c r="B88" s="2" t="s">
        <v>286</v>
      </c>
      <c r="C88" s="4" t="s">
        <v>94</v>
      </c>
      <c r="D88" s="2" t="s">
        <v>312</v>
      </c>
      <c r="E88" s="2" t="s">
        <v>335</v>
      </c>
      <c r="F88" s="2" t="s">
        <v>312</v>
      </c>
      <c r="G88" s="4">
        <f t="shared" si="1"/>
        <v>1</v>
      </c>
      <c r="J88" s="2" t="s">
        <v>360</v>
      </c>
      <c r="L88" s="7">
        <v>48.872424914500002</v>
      </c>
      <c r="M88" s="7">
        <v>2.3560449076699999</v>
      </c>
      <c r="N88" s="4" t="str">
        <f>VLOOKUP(C88,CHECKS!A:I,9,FALSE)</f>
        <v>#CF009E</v>
      </c>
      <c r="O88" s="4">
        <f>VLOOKUP(C88,CHECKS!A:I,6,FALSE)</f>
        <v>1.1200000000000001</v>
      </c>
      <c r="P88" s="4">
        <f>VLOOKUP(C88,CHECKS!A:I,7,FALSE)</f>
        <v>4</v>
      </c>
      <c r="Q88" s="4">
        <f>VLOOKUP(C88,CHECKS!A:I,8,FALSE)</f>
        <v>7</v>
      </c>
      <c r="R88">
        <v>86</v>
      </c>
    </row>
    <row r="89" spans="1:18" x14ac:dyDescent="0.2">
      <c r="A89" s="4">
        <v>880</v>
      </c>
      <c r="B89" s="2" t="s">
        <v>287</v>
      </c>
      <c r="C89" s="4" t="s">
        <v>94</v>
      </c>
      <c r="D89" s="2" t="s">
        <v>313</v>
      </c>
      <c r="E89" s="2" t="s">
        <v>336</v>
      </c>
      <c r="F89" s="2" t="s">
        <v>313</v>
      </c>
      <c r="G89" s="4">
        <f t="shared" si="1"/>
        <v>3</v>
      </c>
      <c r="H89" s="2" t="s">
        <v>1432</v>
      </c>
      <c r="J89" s="2" t="s">
        <v>361</v>
      </c>
      <c r="K89" s="2" t="s">
        <v>1445</v>
      </c>
      <c r="L89" s="7">
        <v>48.869490774500001</v>
      </c>
      <c r="M89" s="7">
        <v>2.3543917683900002</v>
      </c>
      <c r="N89" s="4" t="str">
        <f>VLOOKUP(C89,CHECKS!A:I,9,FALSE)</f>
        <v>#CF009E</v>
      </c>
      <c r="O89" s="4">
        <f>VLOOKUP(C89,CHECKS!A:I,6,FALSE)</f>
        <v>1.1200000000000001</v>
      </c>
      <c r="P89" s="4">
        <f>VLOOKUP(C89,CHECKS!A:I,7,FALSE)</f>
        <v>4</v>
      </c>
      <c r="Q89" s="4">
        <f>VLOOKUP(C89,CHECKS!A:I,8,FALSE)</f>
        <v>7</v>
      </c>
      <c r="R89">
        <v>87</v>
      </c>
    </row>
    <row r="90" spans="1:18" x14ac:dyDescent="0.2">
      <c r="A90" s="4">
        <v>890</v>
      </c>
      <c r="B90" s="2" t="s">
        <v>288</v>
      </c>
      <c r="C90" s="4" t="s">
        <v>94</v>
      </c>
      <c r="D90" s="2" t="s">
        <v>241</v>
      </c>
      <c r="E90" s="2" t="s">
        <v>337</v>
      </c>
      <c r="F90" s="2" t="s">
        <v>241</v>
      </c>
      <c r="G90" s="4">
        <f t="shared" si="1"/>
        <v>2</v>
      </c>
      <c r="H90" s="2" t="s">
        <v>217</v>
      </c>
      <c r="J90" s="2" t="s">
        <v>362</v>
      </c>
      <c r="K90" s="2" t="s">
        <v>241</v>
      </c>
      <c r="L90" s="7">
        <v>48.866069689100001</v>
      </c>
      <c r="M90" s="7">
        <v>2.3524597441099999</v>
      </c>
      <c r="N90" s="4" t="str">
        <f>VLOOKUP(C90,CHECKS!A:I,9,FALSE)</f>
        <v>#CF009E</v>
      </c>
      <c r="O90" s="4">
        <f>VLOOKUP(C90,CHECKS!A:I,6,FALSE)</f>
        <v>1.1200000000000001</v>
      </c>
      <c r="P90" s="4">
        <f>VLOOKUP(C90,CHECKS!A:I,7,FALSE)</f>
        <v>4</v>
      </c>
      <c r="Q90" s="4">
        <f>VLOOKUP(C90,CHECKS!A:I,8,FALSE)</f>
        <v>7</v>
      </c>
      <c r="R90">
        <v>88</v>
      </c>
    </row>
    <row r="91" spans="1:18" x14ac:dyDescent="0.2">
      <c r="A91" s="4">
        <v>900</v>
      </c>
      <c r="B91" s="2" t="s">
        <v>289</v>
      </c>
      <c r="C91" s="4" t="s">
        <v>94</v>
      </c>
      <c r="D91" s="2" t="s">
        <v>314</v>
      </c>
      <c r="E91" s="2" t="s">
        <v>338</v>
      </c>
      <c r="F91" s="2" t="s">
        <v>314</v>
      </c>
      <c r="G91" s="4">
        <f t="shared" si="1"/>
        <v>1</v>
      </c>
      <c r="J91" s="2" t="s">
        <v>363</v>
      </c>
      <c r="L91" s="7">
        <v>48.863807437799998</v>
      </c>
      <c r="M91" s="7">
        <v>2.3488806525900001</v>
      </c>
      <c r="N91" s="4" t="str">
        <f>VLOOKUP(C91,CHECKS!A:I,9,FALSE)</f>
        <v>#CF009E</v>
      </c>
      <c r="O91" s="4">
        <f>VLOOKUP(C91,CHECKS!A:I,6,FALSE)</f>
        <v>1.1200000000000001</v>
      </c>
      <c r="P91" s="4">
        <f>VLOOKUP(C91,CHECKS!A:I,7,FALSE)</f>
        <v>4</v>
      </c>
      <c r="Q91" s="4">
        <f>VLOOKUP(C91,CHECKS!A:I,8,FALSE)</f>
        <v>7</v>
      </c>
      <c r="R91">
        <v>89</v>
      </c>
    </row>
    <row r="92" spans="1:18" x14ac:dyDescent="0.2">
      <c r="A92" s="4">
        <v>910</v>
      </c>
      <c r="B92" s="2" t="s">
        <v>290</v>
      </c>
      <c r="C92" s="4" t="s">
        <v>94</v>
      </c>
      <c r="D92" s="2" t="s">
        <v>315</v>
      </c>
      <c r="E92" s="2" t="s">
        <v>339</v>
      </c>
      <c r="F92" s="2" t="s">
        <v>315</v>
      </c>
      <c r="G92" s="4">
        <f t="shared" si="1"/>
        <v>1</v>
      </c>
      <c r="J92" s="2" t="s">
        <v>364</v>
      </c>
      <c r="L92" s="7">
        <v>48.8623162787</v>
      </c>
      <c r="M92" s="7">
        <v>2.3456738282199998</v>
      </c>
      <c r="N92" s="4" t="str">
        <f>VLOOKUP(C92,CHECKS!A:I,9,FALSE)</f>
        <v>#CF009E</v>
      </c>
      <c r="O92" s="4">
        <f>VLOOKUP(C92,CHECKS!A:I,6,FALSE)</f>
        <v>1.1200000000000001</v>
      </c>
      <c r="P92" s="4">
        <f>VLOOKUP(C92,CHECKS!A:I,7,FALSE)</f>
        <v>4</v>
      </c>
      <c r="Q92" s="4">
        <f>VLOOKUP(C92,CHECKS!A:I,8,FALSE)</f>
        <v>7</v>
      </c>
      <c r="R92">
        <v>90</v>
      </c>
    </row>
    <row r="93" spans="1:18" x14ac:dyDescent="0.2">
      <c r="A93" s="4">
        <v>920</v>
      </c>
      <c r="B93" s="2" t="s">
        <v>291</v>
      </c>
      <c r="C93" s="4" t="s">
        <v>94</v>
      </c>
      <c r="D93" s="2" t="s">
        <v>20</v>
      </c>
      <c r="E93" s="2" t="s">
        <v>340</v>
      </c>
      <c r="F93" s="2" t="s">
        <v>20</v>
      </c>
      <c r="G93" s="4">
        <f t="shared" si="1"/>
        <v>7</v>
      </c>
      <c r="H93" s="2" t="s">
        <v>1389</v>
      </c>
      <c r="I93" s="2" t="s">
        <v>2569</v>
      </c>
      <c r="J93" s="2" t="s">
        <v>365</v>
      </c>
      <c r="K93" s="2" t="s">
        <v>1436</v>
      </c>
      <c r="L93" s="7">
        <v>48.858382370299999</v>
      </c>
      <c r="M93" s="7">
        <v>2.34756482975</v>
      </c>
      <c r="N93" s="4" t="str">
        <f>VLOOKUP(C93,CHECKS!A:I,9,FALSE)</f>
        <v>#CF009E</v>
      </c>
      <c r="O93" s="4">
        <f>VLOOKUP(C93,CHECKS!A:I,6,FALSE)</f>
        <v>1.1200000000000001</v>
      </c>
      <c r="P93" s="4">
        <f>VLOOKUP(C93,CHECKS!A:I,7,FALSE)</f>
        <v>4</v>
      </c>
      <c r="Q93" s="4">
        <f>VLOOKUP(C93,CHECKS!A:I,8,FALSE)</f>
        <v>7</v>
      </c>
      <c r="R93">
        <v>91</v>
      </c>
    </row>
    <row r="94" spans="1:18" x14ac:dyDescent="0.2">
      <c r="A94" s="4">
        <v>930</v>
      </c>
      <c r="B94" s="2" t="s">
        <v>292</v>
      </c>
      <c r="C94" s="4" t="s">
        <v>94</v>
      </c>
      <c r="D94" s="2" t="s">
        <v>316</v>
      </c>
      <c r="E94" s="2" t="s">
        <v>341</v>
      </c>
      <c r="F94" s="2" t="s">
        <v>316</v>
      </c>
      <c r="G94" s="4">
        <f t="shared" si="1"/>
        <v>1</v>
      </c>
      <c r="J94" s="2" t="s">
        <v>366</v>
      </c>
      <c r="L94" s="7">
        <v>48.854936376600001</v>
      </c>
      <c r="M94" s="7">
        <v>2.3473213157299999</v>
      </c>
      <c r="N94" s="4" t="str">
        <f>VLOOKUP(C94,CHECKS!A:I,9,FALSE)</f>
        <v>#CF009E</v>
      </c>
      <c r="O94" s="4">
        <f>VLOOKUP(C94,CHECKS!A:I,6,FALSE)</f>
        <v>1.1200000000000001</v>
      </c>
      <c r="P94" s="4">
        <f>VLOOKUP(C94,CHECKS!A:I,7,FALSE)</f>
        <v>4</v>
      </c>
      <c r="Q94" s="4">
        <f>VLOOKUP(C94,CHECKS!A:I,8,FALSE)</f>
        <v>7</v>
      </c>
      <c r="R94">
        <v>92</v>
      </c>
    </row>
    <row r="95" spans="1:18" x14ac:dyDescent="0.2">
      <c r="A95" s="4">
        <v>940</v>
      </c>
      <c r="B95" s="2" t="s">
        <v>293</v>
      </c>
      <c r="C95" s="4" t="s">
        <v>94</v>
      </c>
      <c r="D95" s="2" t="s">
        <v>317</v>
      </c>
      <c r="E95" s="2" t="s">
        <v>342</v>
      </c>
      <c r="F95" s="2" t="s">
        <v>317</v>
      </c>
      <c r="G95" s="4">
        <f t="shared" si="1"/>
        <v>1</v>
      </c>
      <c r="J95" s="2" t="s">
        <v>367</v>
      </c>
      <c r="L95" s="7">
        <v>48.853167984899997</v>
      </c>
      <c r="M95" s="7">
        <v>2.34328597892</v>
      </c>
      <c r="N95" s="4" t="str">
        <f>VLOOKUP(C95,CHECKS!A:I,9,FALSE)</f>
        <v>#CF009E</v>
      </c>
      <c r="O95" s="4">
        <f>VLOOKUP(C95,CHECKS!A:I,6,FALSE)</f>
        <v>1.1200000000000001</v>
      </c>
      <c r="P95" s="4">
        <f>VLOOKUP(C95,CHECKS!A:I,7,FALSE)</f>
        <v>4</v>
      </c>
      <c r="Q95" s="4">
        <f>VLOOKUP(C95,CHECKS!A:I,8,FALSE)</f>
        <v>7</v>
      </c>
      <c r="R95">
        <v>93</v>
      </c>
    </row>
    <row r="96" spans="1:18" x14ac:dyDescent="0.2">
      <c r="A96" s="4">
        <v>950</v>
      </c>
      <c r="B96" s="2" t="s">
        <v>294</v>
      </c>
      <c r="C96" s="4" t="s">
        <v>94</v>
      </c>
      <c r="D96" s="2" t="s">
        <v>318</v>
      </c>
      <c r="E96" s="2" t="s">
        <v>343</v>
      </c>
      <c r="F96" s="2" t="s">
        <v>318</v>
      </c>
      <c r="G96" s="4">
        <f t="shared" si="1"/>
        <v>2</v>
      </c>
      <c r="H96" s="2" t="s">
        <v>963</v>
      </c>
      <c r="J96" s="2" t="s">
        <v>368</v>
      </c>
      <c r="K96" s="2" t="s">
        <v>318</v>
      </c>
      <c r="L96" s="7">
        <v>48.852300763099997</v>
      </c>
      <c r="M96" s="7">
        <v>2.3397277815900002</v>
      </c>
      <c r="N96" s="4" t="str">
        <f>VLOOKUP(C96,CHECKS!A:I,9,FALSE)</f>
        <v>#CF009E</v>
      </c>
      <c r="O96" s="4">
        <f>VLOOKUP(C96,CHECKS!A:I,6,FALSE)</f>
        <v>1.1200000000000001</v>
      </c>
      <c r="P96" s="4">
        <f>VLOOKUP(C96,CHECKS!A:I,7,FALSE)</f>
        <v>4</v>
      </c>
      <c r="Q96" s="4">
        <f>VLOOKUP(C96,CHECKS!A:I,8,FALSE)</f>
        <v>7</v>
      </c>
      <c r="R96">
        <v>94</v>
      </c>
    </row>
    <row r="97" spans="1:18" x14ac:dyDescent="0.2">
      <c r="A97" s="4">
        <v>960</v>
      </c>
      <c r="B97" s="2" t="s">
        <v>295</v>
      </c>
      <c r="C97" s="4" t="s">
        <v>94</v>
      </c>
      <c r="D97" s="2" t="s">
        <v>319</v>
      </c>
      <c r="E97" s="2" t="s">
        <v>344</v>
      </c>
      <c r="F97" s="2" t="s">
        <v>319</v>
      </c>
      <c r="G97" s="4">
        <f t="shared" si="1"/>
        <v>1</v>
      </c>
      <c r="J97" s="2" t="s">
        <v>369</v>
      </c>
      <c r="L97" s="7">
        <v>48.853718934</v>
      </c>
      <c r="M97" s="7">
        <v>2.3337761368600001</v>
      </c>
      <c r="N97" s="4" t="str">
        <f>VLOOKUP(C97,CHECKS!A:I,9,FALSE)</f>
        <v>#CF009E</v>
      </c>
      <c r="O97" s="4">
        <f>VLOOKUP(C97,CHECKS!A:I,6,FALSE)</f>
        <v>1.1200000000000001</v>
      </c>
      <c r="P97" s="4">
        <f>VLOOKUP(C97,CHECKS!A:I,7,FALSE)</f>
        <v>4</v>
      </c>
      <c r="Q97" s="4">
        <f>VLOOKUP(C97,CHECKS!A:I,8,FALSE)</f>
        <v>7</v>
      </c>
      <c r="R97">
        <v>95</v>
      </c>
    </row>
    <row r="98" spans="1:18" x14ac:dyDescent="0.2">
      <c r="A98" s="4">
        <v>970</v>
      </c>
      <c r="B98" s="2" t="s">
        <v>296</v>
      </c>
      <c r="C98" s="4" t="s">
        <v>94</v>
      </c>
      <c r="D98" s="2" t="s">
        <v>320</v>
      </c>
      <c r="E98" s="2" t="s">
        <v>345</v>
      </c>
      <c r="F98" s="2" t="s">
        <v>320</v>
      </c>
      <c r="G98" s="4">
        <f t="shared" si="1"/>
        <v>1</v>
      </c>
      <c r="J98" s="2" t="s">
        <v>370</v>
      </c>
      <c r="L98" s="7">
        <v>48.8516722456</v>
      </c>
      <c r="M98" s="7">
        <v>2.3312562913699999</v>
      </c>
      <c r="N98" s="4" t="str">
        <f>VLOOKUP(C98,CHECKS!A:I,9,FALSE)</f>
        <v>#CF009E</v>
      </c>
      <c r="O98" s="4">
        <f>VLOOKUP(C98,CHECKS!A:I,6,FALSE)</f>
        <v>1.1200000000000001</v>
      </c>
      <c r="P98" s="4">
        <f>VLOOKUP(C98,CHECKS!A:I,7,FALSE)</f>
        <v>4</v>
      </c>
      <c r="Q98" s="4">
        <f>VLOOKUP(C98,CHECKS!A:I,8,FALSE)</f>
        <v>7</v>
      </c>
      <c r="R98">
        <v>96</v>
      </c>
    </row>
    <row r="99" spans="1:18" x14ac:dyDescent="0.2">
      <c r="A99" s="4">
        <v>980</v>
      </c>
      <c r="B99" s="2" t="s">
        <v>297</v>
      </c>
      <c r="C99" s="4" t="s">
        <v>94</v>
      </c>
      <c r="D99" s="2" t="s">
        <v>321</v>
      </c>
      <c r="E99" s="2" t="s">
        <v>346</v>
      </c>
      <c r="F99" s="2" t="s">
        <v>321</v>
      </c>
      <c r="G99" s="4">
        <f t="shared" si="1"/>
        <v>1</v>
      </c>
      <c r="J99" s="2" t="s">
        <v>371</v>
      </c>
      <c r="L99" s="7">
        <v>48.846878238000002</v>
      </c>
      <c r="M99" s="7">
        <v>2.3267927850399999</v>
      </c>
      <c r="N99" s="4" t="str">
        <f>VLOOKUP(C99,CHECKS!A:I,9,FALSE)</f>
        <v>#CF009E</v>
      </c>
      <c r="O99" s="4">
        <f>VLOOKUP(C99,CHECKS!A:I,6,FALSE)</f>
        <v>1.1200000000000001</v>
      </c>
      <c r="P99" s="4">
        <f>VLOOKUP(C99,CHECKS!A:I,7,FALSE)</f>
        <v>4</v>
      </c>
      <c r="Q99" s="4">
        <f>VLOOKUP(C99,CHECKS!A:I,8,FALSE)</f>
        <v>7</v>
      </c>
      <c r="R99">
        <v>97</v>
      </c>
    </row>
    <row r="100" spans="1:18" x14ac:dyDescent="0.2">
      <c r="A100" s="4">
        <v>990</v>
      </c>
      <c r="B100" s="2" t="s">
        <v>298</v>
      </c>
      <c r="C100" s="4" t="s">
        <v>94</v>
      </c>
      <c r="D100" s="2" t="s">
        <v>322</v>
      </c>
      <c r="E100" s="2" t="s">
        <v>347</v>
      </c>
      <c r="F100" s="2" t="s">
        <v>322</v>
      </c>
      <c r="G100" s="4">
        <f t="shared" si="1"/>
        <v>4</v>
      </c>
      <c r="H100" s="2" t="s">
        <v>1407</v>
      </c>
      <c r="J100" s="2" t="s">
        <v>372</v>
      </c>
      <c r="K100" s="2" t="s">
        <v>1446</v>
      </c>
      <c r="L100" s="7">
        <v>48.843781304799997</v>
      </c>
      <c r="M100" s="7">
        <v>2.3243970124</v>
      </c>
      <c r="N100" s="4" t="str">
        <f>VLOOKUP(C100,CHECKS!A:I,9,FALSE)</f>
        <v>#CF009E</v>
      </c>
      <c r="O100" s="4">
        <f>VLOOKUP(C100,CHECKS!A:I,6,FALSE)</f>
        <v>1.1200000000000001</v>
      </c>
      <c r="P100" s="4">
        <f>VLOOKUP(C100,CHECKS!A:I,7,FALSE)</f>
        <v>4</v>
      </c>
      <c r="Q100" s="4">
        <f>VLOOKUP(C100,CHECKS!A:I,8,FALSE)</f>
        <v>7</v>
      </c>
      <c r="R100">
        <v>98</v>
      </c>
    </row>
    <row r="101" spans="1:18" x14ac:dyDescent="0.2">
      <c r="A101" s="4">
        <v>1000</v>
      </c>
      <c r="B101" s="2" t="s">
        <v>299</v>
      </c>
      <c r="C101" s="4" t="s">
        <v>94</v>
      </c>
      <c r="D101" s="2" t="s">
        <v>323</v>
      </c>
      <c r="E101" s="2" t="s">
        <v>348</v>
      </c>
      <c r="F101" s="2" t="s">
        <v>323</v>
      </c>
      <c r="G101" s="4">
        <f t="shared" si="1"/>
        <v>1</v>
      </c>
      <c r="J101" s="2" t="s">
        <v>373</v>
      </c>
      <c r="L101" s="7">
        <v>48.842218413600001</v>
      </c>
      <c r="M101" s="7">
        <v>2.3290089262400002</v>
      </c>
      <c r="N101" s="4" t="str">
        <f>VLOOKUP(C101,CHECKS!A:I,9,FALSE)</f>
        <v>#CF009E</v>
      </c>
      <c r="O101" s="4">
        <f>VLOOKUP(C101,CHECKS!A:I,6,FALSE)</f>
        <v>1.1200000000000001</v>
      </c>
      <c r="P101" s="4">
        <f>VLOOKUP(C101,CHECKS!A:I,7,FALSE)</f>
        <v>4</v>
      </c>
      <c r="Q101" s="4">
        <f>VLOOKUP(C101,CHECKS!A:I,8,FALSE)</f>
        <v>7</v>
      </c>
      <c r="R101">
        <v>99</v>
      </c>
    </row>
    <row r="102" spans="1:18" x14ac:dyDescent="0.2">
      <c r="A102" s="4">
        <v>1010</v>
      </c>
      <c r="B102" s="2" t="s">
        <v>300</v>
      </c>
      <c r="C102" s="4" t="s">
        <v>94</v>
      </c>
      <c r="D102" s="2" t="s">
        <v>324</v>
      </c>
      <c r="E102" s="2" t="s">
        <v>349</v>
      </c>
      <c r="F102" s="2" t="s">
        <v>324</v>
      </c>
      <c r="G102" s="4">
        <f t="shared" si="1"/>
        <v>2</v>
      </c>
      <c r="H102" s="2" t="s">
        <v>464</v>
      </c>
      <c r="J102" s="2" t="s">
        <v>374</v>
      </c>
      <c r="K102" s="2" t="s">
        <v>324</v>
      </c>
      <c r="L102" s="7">
        <v>48.838964280699997</v>
      </c>
      <c r="M102" s="7">
        <v>2.3307541920900001</v>
      </c>
      <c r="N102" s="4" t="str">
        <f>VLOOKUP(C102,CHECKS!A:I,9,FALSE)</f>
        <v>#CF009E</v>
      </c>
      <c r="O102" s="4">
        <f>VLOOKUP(C102,CHECKS!A:I,6,FALSE)</f>
        <v>1.1200000000000001</v>
      </c>
      <c r="P102" s="4">
        <f>VLOOKUP(C102,CHECKS!A:I,7,FALSE)</f>
        <v>4</v>
      </c>
      <c r="Q102" s="4">
        <f>VLOOKUP(C102,CHECKS!A:I,8,FALSE)</f>
        <v>7</v>
      </c>
      <c r="R102">
        <v>100</v>
      </c>
    </row>
    <row r="103" spans="1:18" x14ac:dyDescent="0.2">
      <c r="A103" s="4">
        <v>1020</v>
      </c>
      <c r="B103" s="2" t="s">
        <v>301</v>
      </c>
      <c r="C103" s="4" t="s">
        <v>94</v>
      </c>
      <c r="D103" s="2" t="s">
        <v>325</v>
      </c>
      <c r="E103" s="2" t="s">
        <v>350</v>
      </c>
      <c r="F103" s="2" t="s">
        <v>325</v>
      </c>
      <c r="G103" s="4">
        <f t="shared" si="1"/>
        <v>3</v>
      </c>
      <c r="H103" s="2" t="s">
        <v>466</v>
      </c>
      <c r="I103" s="2" t="s">
        <v>2502</v>
      </c>
      <c r="J103" s="2" t="s">
        <v>375</v>
      </c>
      <c r="K103" s="2" t="s">
        <v>325</v>
      </c>
      <c r="L103" s="7">
        <v>48.833450858200003</v>
      </c>
      <c r="M103" s="7">
        <v>2.3317401309900001</v>
      </c>
      <c r="N103" s="4" t="str">
        <f>VLOOKUP(C103,CHECKS!A:I,9,FALSE)</f>
        <v>#CF009E</v>
      </c>
      <c r="O103" s="4">
        <f>VLOOKUP(C103,CHECKS!A:I,6,FALSE)</f>
        <v>1.1200000000000001</v>
      </c>
      <c r="P103" s="4">
        <f>VLOOKUP(C103,CHECKS!A:I,7,FALSE)</f>
        <v>4</v>
      </c>
      <c r="Q103" s="4">
        <f>VLOOKUP(C103,CHECKS!A:I,8,FALSE)</f>
        <v>7</v>
      </c>
      <c r="R103">
        <v>101</v>
      </c>
    </row>
    <row r="104" spans="1:18" x14ac:dyDescent="0.2">
      <c r="A104" s="4">
        <v>1030</v>
      </c>
      <c r="B104" s="2" t="s">
        <v>302</v>
      </c>
      <c r="C104" s="4" t="s">
        <v>94</v>
      </c>
      <c r="D104" s="2" t="s">
        <v>326</v>
      </c>
      <c r="E104" s="2" t="s">
        <v>351</v>
      </c>
      <c r="F104" s="2" t="s">
        <v>326</v>
      </c>
      <c r="G104" s="4">
        <f t="shared" si="1"/>
        <v>1</v>
      </c>
      <c r="J104" s="2" t="s">
        <v>376</v>
      </c>
      <c r="L104" s="7">
        <v>48.831112660400002</v>
      </c>
      <c r="M104" s="7">
        <v>2.3297050126199998</v>
      </c>
      <c r="N104" s="4" t="str">
        <f>VLOOKUP(C104,CHECKS!A:I,9,FALSE)</f>
        <v>#CF009E</v>
      </c>
      <c r="O104" s="4">
        <f>VLOOKUP(C104,CHECKS!A:I,6,FALSE)</f>
        <v>1.1200000000000001</v>
      </c>
      <c r="P104" s="4">
        <f>VLOOKUP(C104,CHECKS!A:I,7,FALSE)</f>
        <v>4</v>
      </c>
      <c r="Q104" s="4">
        <f>VLOOKUP(C104,CHECKS!A:I,8,FALSE)</f>
        <v>7</v>
      </c>
      <c r="R104">
        <v>102</v>
      </c>
    </row>
    <row r="105" spans="1:18" x14ac:dyDescent="0.2">
      <c r="A105" s="4">
        <v>1040</v>
      </c>
      <c r="B105" s="2" t="s">
        <v>303</v>
      </c>
      <c r="C105" s="4" t="s">
        <v>94</v>
      </c>
      <c r="D105" s="2" t="s">
        <v>327</v>
      </c>
      <c r="E105" s="2" t="s">
        <v>352</v>
      </c>
      <c r="F105" s="2" t="s">
        <v>327</v>
      </c>
      <c r="G105" s="4">
        <f t="shared" si="1"/>
        <v>1</v>
      </c>
      <c r="J105" s="2" t="s">
        <v>2208</v>
      </c>
      <c r="L105" s="7">
        <v>48.828188476299999</v>
      </c>
      <c r="M105" s="7">
        <v>2.3271646496099998</v>
      </c>
      <c r="N105" s="4" t="str">
        <f>VLOOKUP(C105,CHECKS!A:I,9,FALSE)</f>
        <v>#CF009E</v>
      </c>
      <c r="O105" s="4">
        <f>VLOOKUP(C105,CHECKS!A:I,6,FALSE)</f>
        <v>1.1200000000000001</v>
      </c>
      <c r="P105" s="4">
        <f>VLOOKUP(C105,CHECKS!A:I,7,FALSE)</f>
        <v>4</v>
      </c>
      <c r="Q105" s="4">
        <f>VLOOKUP(C105,CHECKS!A:I,8,FALSE)</f>
        <v>7</v>
      </c>
      <c r="R105">
        <v>103</v>
      </c>
    </row>
    <row r="106" spans="1:18" x14ac:dyDescent="0.2">
      <c r="A106" s="4">
        <v>1050</v>
      </c>
      <c r="B106" s="2" t="s">
        <v>304</v>
      </c>
      <c r="C106" s="4" t="s">
        <v>94</v>
      </c>
      <c r="D106" s="2" t="s">
        <v>2202</v>
      </c>
      <c r="E106" s="2" t="s">
        <v>353</v>
      </c>
      <c r="F106" s="2" t="s">
        <v>2202</v>
      </c>
      <c r="G106" s="4">
        <f t="shared" si="1"/>
        <v>2</v>
      </c>
      <c r="I106" s="2" t="s">
        <v>1730</v>
      </c>
      <c r="J106" s="2" t="s">
        <v>377</v>
      </c>
      <c r="L106" s="7">
        <v>48.823411628999999</v>
      </c>
      <c r="M106" s="7">
        <v>2.32557563621</v>
      </c>
      <c r="N106" s="4" t="str">
        <f>VLOOKUP(C106,CHECKS!A:I,9,FALSE)</f>
        <v>#CF009E</v>
      </c>
      <c r="O106" s="4">
        <f>VLOOKUP(C106,CHECKS!A:I,6,FALSE)</f>
        <v>1.1200000000000001</v>
      </c>
      <c r="P106" s="4">
        <f>VLOOKUP(C106,CHECKS!A:I,7,FALSE)</f>
        <v>4</v>
      </c>
      <c r="Q106" s="4">
        <f>VLOOKUP(C106,CHECKS!A:I,8,FALSE)</f>
        <v>7</v>
      </c>
      <c r="R106">
        <v>104</v>
      </c>
    </row>
    <row r="107" spans="1:18" x14ac:dyDescent="0.2">
      <c r="A107" s="4">
        <v>1060</v>
      </c>
      <c r="B107" s="2" t="s">
        <v>305</v>
      </c>
      <c r="C107" s="4" t="s">
        <v>94</v>
      </c>
      <c r="D107" s="2" t="s">
        <v>328</v>
      </c>
      <c r="E107" s="2" t="s">
        <v>304</v>
      </c>
      <c r="F107" s="2" t="s">
        <v>328</v>
      </c>
      <c r="G107" s="4">
        <f t="shared" si="1"/>
        <v>1</v>
      </c>
      <c r="J107" s="2" t="s">
        <v>2202</v>
      </c>
      <c r="L107" s="7">
        <v>48.8186764099</v>
      </c>
      <c r="M107" s="7">
        <v>2.3197403133000001</v>
      </c>
      <c r="N107" s="4" t="str">
        <f>VLOOKUP(C107,CHECKS!A:I,9,FALSE)</f>
        <v>#CF009E</v>
      </c>
      <c r="O107" s="4">
        <f>VLOOKUP(C107,CHECKS!A:I,6,FALSE)</f>
        <v>1.1200000000000001</v>
      </c>
      <c r="P107" s="4">
        <f>VLOOKUP(C107,CHECKS!A:I,7,FALSE)</f>
        <v>4</v>
      </c>
      <c r="Q107" s="4">
        <f>VLOOKUP(C107,CHECKS!A:I,8,FALSE)</f>
        <v>7</v>
      </c>
      <c r="R107">
        <v>105</v>
      </c>
    </row>
    <row r="108" spans="1:18" x14ac:dyDescent="0.2">
      <c r="A108" s="4">
        <v>1070</v>
      </c>
      <c r="B108" s="2" t="s">
        <v>378</v>
      </c>
      <c r="C108" s="4" t="s">
        <v>402</v>
      </c>
      <c r="D108" s="2" t="s">
        <v>403</v>
      </c>
      <c r="E108" s="2" t="s">
        <v>379</v>
      </c>
      <c r="F108" s="2" t="s">
        <v>403</v>
      </c>
      <c r="G108" s="4">
        <f t="shared" si="1"/>
        <v>2</v>
      </c>
      <c r="I108" s="2" t="s">
        <v>1588</v>
      </c>
      <c r="J108" s="2" t="s">
        <v>404</v>
      </c>
      <c r="L108" s="7">
        <v>48.906374770299998</v>
      </c>
      <c r="M108" s="7">
        <v>2.4491899044899998</v>
      </c>
      <c r="N108" s="4" t="str">
        <f>VLOOKUP(C108,CHECKS!A:I,9,FALSE)</f>
        <v>#FF7E2E</v>
      </c>
      <c r="O108" s="4">
        <f>VLOOKUP(C108,CHECKS!A:I,6,FALSE)</f>
        <v>1.62</v>
      </c>
      <c r="P108" s="4">
        <f>VLOOKUP(C108,CHECKS!A:I,7,FALSE)</f>
        <v>4</v>
      </c>
      <c r="Q108" s="4">
        <f>VLOOKUP(C108,CHECKS!A:I,8,FALSE)</f>
        <v>7</v>
      </c>
      <c r="R108">
        <v>106</v>
      </c>
    </row>
    <row r="109" spans="1:18" x14ac:dyDescent="0.2">
      <c r="A109" s="4">
        <v>1080</v>
      </c>
      <c r="B109" s="2" t="s">
        <v>379</v>
      </c>
      <c r="C109" s="4" t="s">
        <v>402</v>
      </c>
      <c r="D109" s="2" t="s">
        <v>404</v>
      </c>
      <c r="E109" s="2" t="s">
        <v>1271</v>
      </c>
      <c r="F109" s="2" t="s">
        <v>404</v>
      </c>
      <c r="G109" s="4">
        <f t="shared" si="1"/>
        <v>1</v>
      </c>
      <c r="J109" s="2" t="s">
        <v>526</v>
      </c>
      <c r="L109" s="7">
        <v>48.895454673000003</v>
      </c>
      <c r="M109" s="7">
        <v>2.4253268887999999</v>
      </c>
      <c r="N109" s="4" t="str">
        <f>VLOOKUP(C109,CHECKS!A:I,9,FALSE)</f>
        <v>#FF7E2E</v>
      </c>
      <c r="O109" s="4">
        <f>VLOOKUP(C109,CHECKS!A:I,6,FALSE)</f>
        <v>1.62</v>
      </c>
      <c r="P109" s="4">
        <f>VLOOKUP(C109,CHECKS!A:I,7,FALSE)</f>
        <v>4</v>
      </c>
      <c r="Q109" s="4">
        <f>VLOOKUP(C109,CHECKS!A:I,8,FALSE)</f>
        <v>7</v>
      </c>
      <c r="R109">
        <v>107</v>
      </c>
    </row>
    <row r="110" spans="1:18" x14ac:dyDescent="0.2">
      <c r="A110" s="4">
        <v>1090</v>
      </c>
      <c r="B110" s="2" t="s">
        <v>380</v>
      </c>
      <c r="C110" s="4" t="s">
        <v>402</v>
      </c>
      <c r="D110" s="2" t="s">
        <v>405</v>
      </c>
      <c r="E110" s="2" t="s">
        <v>1272</v>
      </c>
      <c r="F110" s="2" t="s">
        <v>405</v>
      </c>
      <c r="G110" s="4">
        <f t="shared" si="1"/>
        <v>1</v>
      </c>
      <c r="J110" s="2" t="s">
        <v>527</v>
      </c>
      <c r="L110" s="7">
        <v>48.893257589999997</v>
      </c>
      <c r="M110" s="7">
        <v>2.41331313951</v>
      </c>
      <c r="N110" s="4" t="str">
        <f>VLOOKUP(C110,CHECKS!A:I,9,FALSE)</f>
        <v>#FF7E2E</v>
      </c>
      <c r="O110" s="4">
        <f>VLOOKUP(C110,CHECKS!A:I,6,FALSE)</f>
        <v>1.62</v>
      </c>
      <c r="P110" s="4">
        <f>VLOOKUP(C110,CHECKS!A:I,7,FALSE)</f>
        <v>4</v>
      </c>
      <c r="Q110" s="4">
        <f>VLOOKUP(C110,CHECKS!A:I,8,FALSE)</f>
        <v>7</v>
      </c>
      <c r="R110">
        <v>108</v>
      </c>
    </row>
    <row r="111" spans="1:18" x14ac:dyDescent="0.2">
      <c r="A111" s="4">
        <v>1100</v>
      </c>
      <c r="B111" s="2" t="s">
        <v>381</v>
      </c>
      <c r="C111" s="4" t="s">
        <v>402</v>
      </c>
      <c r="D111" s="2" t="s">
        <v>406</v>
      </c>
      <c r="E111" s="2" t="s">
        <v>1273</v>
      </c>
      <c r="F111" s="2" t="s">
        <v>406</v>
      </c>
      <c r="G111" s="4">
        <f t="shared" si="1"/>
        <v>1</v>
      </c>
      <c r="J111" s="2" t="s">
        <v>528</v>
      </c>
      <c r="L111" s="7">
        <v>48.891228593199997</v>
      </c>
      <c r="M111" s="7">
        <v>2.4023521425399998</v>
      </c>
      <c r="N111" s="4" t="str">
        <f>VLOOKUP(C111,CHECKS!A:I,9,FALSE)</f>
        <v>#FF7E2E</v>
      </c>
      <c r="O111" s="4">
        <f>VLOOKUP(C111,CHECKS!A:I,6,FALSE)</f>
        <v>1.62</v>
      </c>
      <c r="P111" s="4">
        <f>VLOOKUP(C111,CHECKS!A:I,7,FALSE)</f>
        <v>4</v>
      </c>
      <c r="Q111" s="4">
        <f>VLOOKUP(C111,CHECKS!A:I,8,FALSE)</f>
        <v>7</v>
      </c>
      <c r="R111">
        <v>109</v>
      </c>
    </row>
    <row r="112" spans="1:18" x14ac:dyDescent="0.2">
      <c r="A112" s="4">
        <v>1110</v>
      </c>
      <c r="B112" s="2" t="s">
        <v>382</v>
      </c>
      <c r="C112" s="4" t="s">
        <v>402</v>
      </c>
      <c r="D112" s="2" t="s">
        <v>407</v>
      </c>
      <c r="E112" s="2" t="s">
        <v>1274</v>
      </c>
      <c r="F112" s="2" t="s">
        <v>407</v>
      </c>
      <c r="G112" s="4">
        <f t="shared" si="1"/>
        <v>2</v>
      </c>
      <c r="I112" s="2" t="s">
        <v>1795</v>
      </c>
      <c r="J112" s="2" t="s">
        <v>529</v>
      </c>
      <c r="L112" s="7">
        <v>48.888503687899998</v>
      </c>
      <c r="M112" s="7">
        <v>2.3921136977600002</v>
      </c>
      <c r="N112" s="4" t="str">
        <f>VLOOKUP(C112,CHECKS!A:I,9,FALSE)</f>
        <v>#FF7E2E</v>
      </c>
      <c r="O112" s="4">
        <f>VLOOKUP(C112,CHECKS!A:I,6,FALSE)</f>
        <v>1.62</v>
      </c>
      <c r="P112" s="4">
        <f>VLOOKUP(C112,CHECKS!A:I,7,FALSE)</f>
        <v>4</v>
      </c>
      <c r="Q112" s="4">
        <f>VLOOKUP(C112,CHECKS!A:I,8,FALSE)</f>
        <v>7</v>
      </c>
      <c r="R112">
        <v>110</v>
      </c>
    </row>
    <row r="113" spans="1:18" x14ac:dyDescent="0.2">
      <c r="A113" s="4">
        <v>1120</v>
      </c>
      <c r="B113" s="2" t="s">
        <v>383</v>
      </c>
      <c r="C113" s="4" t="s">
        <v>402</v>
      </c>
      <c r="D113" s="2" t="s">
        <v>408</v>
      </c>
      <c r="E113" s="2" t="s">
        <v>1275</v>
      </c>
      <c r="F113" s="2" t="s">
        <v>408</v>
      </c>
      <c r="G113" s="4">
        <f t="shared" si="1"/>
        <v>1</v>
      </c>
      <c r="J113" s="2" t="s">
        <v>530</v>
      </c>
      <c r="L113" s="7">
        <v>48.887134869100002</v>
      </c>
      <c r="M113" s="7">
        <v>2.3869600171399998</v>
      </c>
      <c r="N113" s="4" t="str">
        <f>VLOOKUP(C113,CHECKS!A:I,9,FALSE)</f>
        <v>#FF7E2E</v>
      </c>
      <c r="O113" s="4">
        <f>VLOOKUP(C113,CHECKS!A:I,6,FALSE)</f>
        <v>1.62</v>
      </c>
      <c r="P113" s="4">
        <f>VLOOKUP(C113,CHECKS!A:I,7,FALSE)</f>
        <v>4</v>
      </c>
      <c r="Q113" s="4">
        <f>VLOOKUP(C113,CHECKS!A:I,8,FALSE)</f>
        <v>7</v>
      </c>
      <c r="R113">
        <v>111</v>
      </c>
    </row>
    <row r="114" spans="1:18" x14ac:dyDescent="0.2">
      <c r="A114" s="4">
        <v>1130</v>
      </c>
      <c r="B114" s="2" t="s">
        <v>384</v>
      </c>
      <c r="C114" s="4" t="s">
        <v>402</v>
      </c>
      <c r="D114" s="2" t="s">
        <v>409</v>
      </c>
      <c r="E114" s="2" t="s">
        <v>1276</v>
      </c>
      <c r="F114" s="2" t="s">
        <v>409</v>
      </c>
      <c r="G114" s="4">
        <f t="shared" si="1"/>
        <v>1</v>
      </c>
      <c r="J114" s="2" t="s">
        <v>531</v>
      </c>
      <c r="L114" s="7">
        <v>48.885216182100002</v>
      </c>
      <c r="M114" s="7">
        <v>2.3796630774800001</v>
      </c>
      <c r="N114" s="4" t="str">
        <f>VLOOKUP(C114,CHECKS!A:I,9,FALSE)</f>
        <v>#FF7E2E</v>
      </c>
      <c r="O114" s="4">
        <f>VLOOKUP(C114,CHECKS!A:I,6,FALSE)</f>
        <v>1.62</v>
      </c>
      <c r="P114" s="4">
        <f>VLOOKUP(C114,CHECKS!A:I,7,FALSE)</f>
        <v>4</v>
      </c>
      <c r="Q114" s="4">
        <f>VLOOKUP(C114,CHECKS!A:I,8,FALSE)</f>
        <v>7</v>
      </c>
      <c r="R114">
        <v>112</v>
      </c>
    </row>
    <row r="115" spans="1:18" x14ac:dyDescent="0.2">
      <c r="A115" s="4">
        <v>1140</v>
      </c>
      <c r="B115" s="2" t="s">
        <v>385</v>
      </c>
      <c r="C115" s="4" t="s">
        <v>402</v>
      </c>
      <c r="D115" s="2" t="s">
        <v>122</v>
      </c>
      <c r="E115" s="2" t="s">
        <v>1277</v>
      </c>
      <c r="F115" s="2" t="s">
        <v>122</v>
      </c>
      <c r="G115" s="4">
        <f t="shared" si="1"/>
        <v>3</v>
      </c>
      <c r="H115" s="2" t="s">
        <v>1400</v>
      </c>
      <c r="J115" s="2" t="s">
        <v>532</v>
      </c>
      <c r="K115" s="2" t="s">
        <v>1440</v>
      </c>
      <c r="L115" s="7">
        <v>48.883147451399999</v>
      </c>
      <c r="M115" s="7">
        <v>2.3710014407500002</v>
      </c>
      <c r="N115" s="4" t="str">
        <f>VLOOKUP(C115,CHECKS!A:I,9,FALSE)</f>
        <v>#FF7E2E</v>
      </c>
      <c r="O115" s="4">
        <f>VLOOKUP(C115,CHECKS!A:I,6,FALSE)</f>
        <v>1.62</v>
      </c>
      <c r="P115" s="4">
        <f>VLOOKUP(C115,CHECKS!A:I,7,FALSE)</f>
        <v>4</v>
      </c>
      <c r="Q115" s="4">
        <f>VLOOKUP(C115,CHECKS!A:I,8,FALSE)</f>
        <v>7</v>
      </c>
      <c r="R115">
        <v>113</v>
      </c>
    </row>
    <row r="116" spans="1:18" x14ac:dyDescent="0.2">
      <c r="A116" s="4">
        <v>1150</v>
      </c>
      <c r="B116" s="2" t="s">
        <v>386</v>
      </c>
      <c r="C116" s="4" t="s">
        <v>402</v>
      </c>
      <c r="D116" s="2" t="s">
        <v>121</v>
      </c>
      <c r="E116" s="2" t="s">
        <v>1278</v>
      </c>
      <c r="F116" s="2" t="s">
        <v>121</v>
      </c>
      <c r="G116" s="4">
        <f t="shared" si="1"/>
        <v>3</v>
      </c>
      <c r="H116" s="2" t="s">
        <v>1430</v>
      </c>
      <c r="J116" s="2" t="s">
        <v>533</v>
      </c>
      <c r="K116" s="2" t="s">
        <v>1439</v>
      </c>
      <c r="L116" s="7">
        <v>48.884420886400001</v>
      </c>
      <c r="M116" s="7">
        <v>2.3658938199400001</v>
      </c>
      <c r="N116" s="4" t="str">
        <f>VLOOKUP(C116,CHECKS!A:I,9,FALSE)</f>
        <v>#FF7E2E</v>
      </c>
      <c r="O116" s="4">
        <f>VLOOKUP(C116,CHECKS!A:I,6,FALSE)</f>
        <v>1.62</v>
      </c>
      <c r="P116" s="4">
        <f>VLOOKUP(C116,CHECKS!A:I,7,FALSE)</f>
        <v>4</v>
      </c>
      <c r="Q116" s="4">
        <f>VLOOKUP(C116,CHECKS!A:I,8,FALSE)</f>
        <v>7</v>
      </c>
      <c r="R116">
        <v>114</v>
      </c>
    </row>
    <row r="117" spans="1:18" x14ac:dyDescent="0.2">
      <c r="A117" s="4">
        <v>1160</v>
      </c>
      <c r="B117" s="2" t="s">
        <v>387</v>
      </c>
      <c r="C117" s="4" t="s">
        <v>402</v>
      </c>
      <c r="D117" s="2" t="s">
        <v>310</v>
      </c>
      <c r="E117" s="2" t="s">
        <v>1279</v>
      </c>
      <c r="F117" s="2" t="s">
        <v>310</v>
      </c>
      <c r="G117" s="4">
        <f t="shared" si="1"/>
        <v>3</v>
      </c>
      <c r="H117" s="2" t="s">
        <v>2614</v>
      </c>
      <c r="I117" s="2" t="s">
        <v>2497</v>
      </c>
      <c r="J117" s="2" t="s">
        <v>534</v>
      </c>
      <c r="K117" s="2" t="s">
        <v>2619</v>
      </c>
      <c r="L117" s="7">
        <v>48.879850142499997</v>
      </c>
      <c r="M117" s="7">
        <v>2.3574593465899998</v>
      </c>
      <c r="N117" s="4" t="str">
        <f>VLOOKUP(C117,CHECKS!A:I,9,FALSE)</f>
        <v>#FF7E2E</v>
      </c>
      <c r="O117" s="4">
        <f>VLOOKUP(C117,CHECKS!A:I,6,FALSE)</f>
        <v>1.62</v>
      </c>
      <c r="P117" s="4">
        <f>VLOOKUP(C117,CHECKS!A:I,7,FALSE)</f>
        <v>4</v>
      </c>
      <c r="Q117" s="4">
        <f>VLOOKUP(C117,CHECKS!A:I,8,FALSE)</f>
        <v>7</v>
      </c>
      <c r="R117">
        <v>115</v>
      </c>
    </row>
    <row r="118" spans="1:18" x14ac:dyDescent="0.2">
      <c r="A118" s="4">
        <v>1170</v>
      </c>
      <c r="B118" s="2" t="s">
        <v>388</v>
      </c>
      <c r="C118" s="4" t="s">
        <v>402</v>
      </c>
      <c r="D118" s="2" t="s">
        <v>311</v>
      </c>
      <c r="E118" s="2" t="s">
        <v>1280</v>
      </c>
      <c r="F118" s="2" t="s">
        <v>311</v>
      </c>
      <c r="G118" s="4">
        <f t="shared" si="1"/>
        <v>3</v>
      </c>
      <c r="H118" s="2" t="s">
        <v>1397</v>
      </c>
      <c r="J118" s="2" t="s">
        <v>535</v>
      </c>
      <c r="K118" s="2" t="s">
        <v>1444</v>
      </c>
      <c r="L118" s="7">
        <v>48.876126352900002</v>
      </c>
      <c r="M118" s="7">
        <v>2.3580475053600001</v>
      </c>
      <c r="N118" s="4" t="str">
        <f>VLOOKUP(C118,CHECKS!A:I,9,FALSE)</f>
        <v>#FF7E2E</v>
      </c>
      <c r="O118" s="4">
        <f>VLOOKUP(C118,CHECKS!A:I,6,FALSE)</f>
        <v>1.62</v>
      </c>
      <c r="P118" s="4">
        <f>VLOOKUP(C118,CHECKS!A:I,7,FALSE)</f>
        <v>4</v>
      </c>
      <c r="Q118" s="4">
        <f>VLOOKUP(C118,CHECKS!A:I,8,FALSE)</f>
        <v>7</v>
      </c>
      <c r="R118">
        <v>116</v>
      </c>
    </row>
    <row r="119" spans="1:18" x14ac:dyDescent="0.2">
      <c r="A119" s="4">
        <v>1180</v>
      </c>
      <c r="B119" s="2" t="s">
        <v>389</v>
      </c>
      <c r="C119" s="4" t="s">
        <v>402</v>
      </c>
      <c r="D119" s="2" t="s">
        <v>410</v>
      </c>
      <c r="E119" s="2" t="s">
        <v>1281</v>
      </c>
      <c r="F119" s="2" t="s">
        <v>410</v>
      </c>
      <c r="G119" s="4">
        <f t="shared" si="1"/>
        <v>1</v>
      </c>
      <c r="J119" s="2" t="s">
        <v>536</v>
      </c>
      <c r="L119" s="7">
        <v>48.870809979999997</v>
      </c>
      <c r="M119" s="7">
        <v>2.36102746692</v>
      </c>
      <c r="N119" s="4" t="str">
        <f>VLOOKUP(C119,CHECKS!A:I,9,FALSE)</f>
        <v>#FF7E2E</v>
      </c>
      <c r="O119" s="4">
        <f>VLOOKUP(C119,CHECKS!A:I,6,FALSE)</f>
        <v>1.62</v>
      </c>
      <c r="P119" s="4">
        <f>VLOOKUP(C119,CHECKS!A:I,7,FALSE)</f>
        <v>4</v>
      </c>
      <c r="Q119" s="4">
        <f>VLOOKUP(C119,CHECKS!A:I,8,FALSE)</f>
        <v>7</v>
      </c>
      <c r="R119">
        <v>117</v>
      </c>
    </row>
    <row r="120" spans="1:18" x14ac:dyDescent="0.2">
      <c r="A120" s="4">
        <v>1190</v>
      </c>
      <c r="B120" s="2" t="s">
        <v>390</v>
      </c>
      <c r="C120" s="4" t="s">
        <v>402</v>
      </c>
      <c r="D120" s="2" t="s">
        <v>244</v>
      </c>
      <c r="E120" s="2" t="s">
        <v>1282</v>
      </c>
      <c r="F120" s="2" t="s">
        <v>244</v>
      </c>
      <c r="G120" s="4">
        <f t="shared" si="1"/>
        <v>5</v>
      </c>
      <c r="H120" s="2" t="s">
        <v>1421</v>
      </c>
      <c r="J120" s="2" t="s">
        <v>537</v>
      </c>
      <c r="K120" s="2" t="s">
        <v>1443</v>
      </c>
      <c r="L120" s="7">
        <v>48.8673844729</v>
      </c>
      <c r="M120" s="7">
        <v>2.36426495043</v>
      </c>
      <c r="N120" s="4" t="str">
        <f>VLOOKUP(C120,CHECKS!A:I,9,FALSE)</f>
        <v>#FF7E2E</v>
      </c>
      <c r="O120" s="4">
        <f>VLOOKUP(C120,CHECKS!A:I,6,FALSE)</f>
        <v>1.62</v>
      </c>
      <c r="P120" s="4">
        <f>VLOOKUP(C120,CHECKS!A:I,7,FALSE)</f>
        <v>4</v>
      </c>
      <c r="Q120" s="4">
        <f>VLOOKUP(C120,CHECKS!A:I,8,FALSE)</f>
        <v>7</v>
      </c>
      <c r="R120">
        <v>118</v>
      </c>
    </row>
    <row r="121" spans="1:18" x14ac:dyDescent="0.2">
      <c r="A121" s="4">
        <v>1200</v>
      </c>
      <c r="B121" s="2" t="s">
        <v>391</v>
      </c>
      <c r="C121" s="4" t="s">
        <v>402</v>
      </c>
      <c r="D121" s="2" t="s">
        <v>411</v>
      </c>
      <c r="E121" s="2" t="s">
        <v>1283</v>
      </c>
      <c r="F121" s="2" t="s">
        <v>411</v>
      </c>
      <c r="G121" s="4">
        <f t="shared" si="1"/>
        <v>2</v>
      </c>
      <c r="H121" s="2" t="s">
        <v>747</v>
      </c>
      <c r="J121" s="2" t="s">
        <v>538</v>
      </c>
      <c r="K121" s="2" t="s">
        <v>411</v>
      </c>
      <c r="L121" s="7">
        <v>48.864657879600003</v>
      </c>
      <c r="M121" s="7">
        <v>2.3684100256599998</v>
      </c>
      <c r="N121" s="4" t="str">
        <f>VLOOKUP(C121,CHECKS!A:I,9,FALSE)</f>
        <v>#FF7E2E</v>
      </c>
      <c r="O121" s="4">
        <f>VLOOKUP(C121,CHECKS!A:I,6,FALSE)</f>
        <v>1.62</v>
      </c>
      <c r="P121" s="4">
        <f>VLOOKUP(C121,CHECKS!A:I,7,FALSE)</f>
        <v>4</v>
      </c>
      <c r="Q121" s="4">
        <f>VLOOKUP(C121,CHECKS!A:I,8,FALSE)</f>
        <v>7</v>
      </c>
      <c r="R121">
        <v>119</v>
      </c>
    </row>
    <row r="122" spans="1:18" x14ac:dyDescent="0.2">
      <c r="A122" s="4">
        <v>1210</v>
      </c>
      <c r="B122" s="2" t="s">
        <v>392</v>
      </c>
      <c r="C122" s="4" t="s">
        <v>402</v>
      </c>
      <c r="D122" s="2" t="s">
        <v>412</v>
      </c>
      <c r="E122" s="2" t="s">
        <v>1284</v>
      </c>
      <c r="F122" s="2" t="s">
        <v>412</v>
      </c>
      <c r="G122" s="4">
        <f t="shared" si="1"/>
        <v>1</v>
      </c>
      <c r="J122" s="2" t="s">
        <v>539</v>
      </c>
      <c r="L122" s="7">
        <v>48.859873624400002</v>
      </c>
      <c r="M122" s="7">
        <v>2.37191398009</v>
      </c>
      <c r="N122" s="4" t="str">
        <f>VLOOKUP(C122,CHECKS!A:I,9,FALSE)</f>
        <v>#FF7E2E</v>
      </c>
      <c r="O122" s="4">
        <f>VLOOKUP(C122,CHECKS!A:I,6,FALSE)</f>
        <v>1.62</v>
      </c>
      <c r="P122" s="4">
        <f>VLOOKUP(C122,CHECKS!A:I,7,FALSE)</f>
        <v>4</v>
      </c>
      <c r="Q122" s="4">
        <f>VLOOKUP(C122,CHECKS!A:I,8,FALSE)</f>
        <v>7</v>
      </c>
      <c r="R122">
        <v>120</v>
      </c>
    </row>
    <row r="123" spans="1:18" x14ac:dyDescent="0.2">
      <c r="A123" s="4">
        <v>1220</v>
      </c>
      <c r="B123" s="2" t="s">
        <v>393</v>
      </c>
      <c r="C123" s="4" t="s">
        <v>402</v>
      </c>
      <c r="D123" s="2" t="s">
        <v>413</v>
      </c>
      <c r="E123" s="2" t="s">
        <v>1285</v>
      </c>
      <c r="F123" s="2" t="s">
        <v>413</v>
      </c>
      <c r="G123" s="4">
        <f t="shared" si="1"/>
        <v>1</v>
      </c>
      <c r="J123" s="2" t="s">
        <v>540</v>
      </c>
      <c r="L123" s="7">
        <v>48.8561407093</v>
      </c>
      <c r="M123" s="7">
        <v>2.37020933841</v>
      </c>
      <c r="N123" s="4" t="str">
        <f>VLOOKUP(C123,CHECKS!A:I,9,FALSE)</f>
        <v>#FF7E2E</v>
      </c>
      <c r="O123" s="4">
        <f>VLOOKUP(C123,CHECKS!A:I,6,FALSE)</f>
        <v>1.62</v>
      </c>
      <c r="P123" s="4">
        <f>VLOOKUP(C123,CHECKS!A:I,7,FALSE)</f>
        <v>4</v>
      </c>
      <c r="Q123" s="4">
        <f>VLOOKUP(C123,CHECKS!A:I,8,FALSE)</f>
        <v>7</v>
      </c>
      <c r="R123">
        <v>121</v>
      </c>
    </row>
    <row r="124" spans="1:18" x14ac:dyDescent="0.2">
      <c r="A124" s="4">
        <v>1230</v>
      </c>
      <c r="B124" s="2" t="s">
        <v>394</v>
      </c>
      <c r="C124" s="4" t="s">
        <v>402</v>
      </c>
      <c r="D124" s="2" t="s">
        <v>23</v>
      </c>
      <c r="E124" s="2" t="s">
        <v>1286</v>
      </c>
      <c r="F124" s="2" t="s">
        <v>23</v>
      </c>
      <c r="G124" s="4">
        <f t="shared" si="1"/>
        <v>3</v>
      </c>
      <c r="H124" s="2" t="s">
        <v>1383</v>
      </c>
      <c r="J124" s="2" t="s">
        <v>541</v>
      </c>
      <c r="K124" s="2" t="s">
        <v>1437</v>
      </c>
      <c r="L124" s="7">
        <v>48.853436962300002</v>
      </c>
      <c r="M124" s="7">
        <v>2.36873657263</v>
      </c>
      <c r="N124" s="4" t="str">
        <f>VLOOKUP(C124,CHECKS!A:I,9,FALSE)</f>
        <v>#FF7E2E</v>
      </c>
      <c r="O124" s="4">
        <f>VLOOKUP(C124,CHECKS!A:I,6,FALSE)</f>
        <v>1.62</v>
      </c>
      <c r="P124" s="4">
        <f>VLOOKUP(C124,CHECKS!A:I,7,FALSE)</f>
        <v>4</v>
      </c>
      <c r="Q124" s="4">
        <f>VLOOKUP(C124,CHECKS!A:I,8,FALSE)</f>
        <v>7</v>
      </c>
      <c r="R124">
        <v>122</v>
      </c>
    </row>
    <row r="125" spans="1:18" x14ac:dyDescent="0.2">
      <c r="A125" s="4">
        <v>1240</v>
      </c>
      <c r="B125" s="2" t="s">
        <v>395</v>
      </c>
      <c r="C125" s="4" t="s">
        <v>402</v>
      </c>
      <c r="D125" s="2" t="s">
        <v>414</v>
      </c>
      <c r="E125" s="2" t="s">
        <v>1287</v>
      </c>
      <c r="F125" s="2" t="s">
        <v>414</v>
      </c>
      <c r="G125" s="4">
        <f t="shared" si="1"/>
        <v>1</v>
      </c>
      <c r="J125" s="2" t="s">
        <v>542</v>
      </c>
      <c r="L125" s="7">
        <v>48.846515404199998</v>
      </c>
      <c r="M125" s="7">
        <v>2.3658734694099999</v>
      </c>
      <c r="N125" s="4" t="str">
        <f>VLOOKUP(C125,CHECKS!A:I,9,FALSE)</f>
        <v>#FF7E2E</v>
      </c>
      <c r="O125" s="4">
        <f>VLOOKUP(C125,CHECKS!A:I,6,FALSE)</f>
        <v>1.62</v>
      </c>
      <c r="P125" s="4">
        <f>VLOOKUP(C125,CHECKS!A:I,7,FALSE)</f>
        <v>4</v>
      </c>
      <c r="Q125" s="4">
        <f>VLOOKUP(C125,CHECKS!A:I,8,FALSE)</f>
        <v>7</v>
      </c>
      <c r="R125">
        <v>123</v>
      </c>
    </row>
    <row r="126" spans="1:18" x14ac:dyDescent="0.2">
      <c r="A126" s="4">
        <v>1250</v>
      </c>
      <c r="B126" s="2" t="s">
        <v>396</v>
      </c>
      <c r="C126" s="4" t="s">
        <v>402</v>
      </c>
      <c r="D126" s="2" t="s">
        <v>415</v>
      </c>
      <c r="E126" s="2" t="s">
        <v>1288</v>
      </c>
      <c r="F126" s="2" t="s">
        <v>415</v>
      </c>
      <c r="G126" s="4">
        <f t="shared" si="1"/>
        <v>2</v>
      </c>
      <c r="H126" s="2" t="s">
        <v>968</v>
      </c>
      <c r="J126" s="2" t="s">
        <v>543</v>
      </c>
      <c r="K126" s="2" t="s">
        <v>415</v>
      </c>
      <c r="L126" s="7">
        <v>48.842265386500003</v>
      </c>
      <c r="M126" s="7">
        <v>2.3653386529699998</v>
      </c>
      <c r="N126" s="4" t="str">
        <f>VLOOKUP(C126,CHECKS!A:I,9,FALSE)</f>
        <v>#FF7E2E</v>
      </c>
      <c r="O126" s="4">
        <f>VLOOKUP(C126,CHECKS!A:I,6,FALSE)</f>
        <v>1.62</v>
      </c>
      <c r="P126" s="4">
        <f>VLOOKUP(C126,CHECKS!A:I,7,FALSE)</f>
        <v>4</v>
      </c>
      <c r="Q126" s="4">
        <f>VLOOKUP(C126,CHECKS!A:I,8,FALSE)</f>
        <v>7</v>
      </c>
      <c r="R126">
        <v>124</v>
      </c>
    </row>
    <row r="127" spans="1:18" x14ac:dyDescent="0.2">
      <c r="A127" s="4">
        <v>1260</v>
      </c>
      <c r="B127" s="2" t="s">
        <v>397</v>
      </c>
      <c r="C127" s="4" t="s">
        <v>402</v>
      </c>
      <c r="D127" s="2" t="s">
        <v>416</v>
      </c>
      <c r="E127" s="2" t="s">
        <v>1289</v>
      </c>
      <c r="F127" s="2" t="s">
        <v>416</v>
      </c>
      <c r="G127" s="4">
        <f t="shared" si="1"/>
        <v>1</v>
      </c>
      <c r="J127" s="2" t="s">
        <v>544</v>
      </c>
      <c r="L127" s="7">
        <v>48.838427297000003</v>
      </c>
      <c r="M127" s="7">
        <v>2.3609671677000001</v>
      </c>
      <c r="N127" s="4" t="str">
        <f>VLOOKUP(C127,CHECKS!A:I,9,FALSE)</f>
        <v>#FF7E2E</v>
      </c>
      <c r="O127" s="4">
        <f>VLOOKUP(C127,CHECKS!A:I,6,FALSE)</f>
        <v>1.62</v>
      </c>
      <c r="P127" s="4">
        <f>VLOOKUP(C127,CHECKS!A:I,7,FALSE)</f>
        <v>4</v>
      </c>
      <c r="Q127" s="4">
        <f>VLOOKUP(C127,CHECKS!A:I,8,FALSE)</f>
        <v>7</v>
      </c>
      <c r="R127">
        <v>125</v>
      </c>
    </row>
    <row r="128" spans="1:18" x14ac:dyDescent="0.2">
      <c r="A128" s="4">
        <v>1270</v>
      </c>
      <c r="B128" s="2" t="s">
        <v>398</v>
      </c>
      <c r="C128" s="4" t="s">
        <v>402</v>
      </c>
      <c r="D128" s="2" t="s">
        <v>417</v>
      </c>
      <c r="E128" s="2" t="s">
        <v>1290</v>
      </c>
      <c r="F128" s="2" t="s">
        <v>417</v>
      </c>
      <c r="G128" s="4">
        <f t="shared" si="1"/>
        <v>1</v>
      </c>
      <c r="J128" s="2" t="s">
        <v>545</v>
      </c>
      <c r="L128" s="7">
        <v>48.835495355399999</v>
      </c>
      <c r="M128" s="7">
        <v>2.3588234891000002</v>
      </c>
      <c r="N128" s="4" t="str">
        <f>VLOOKUP(C128,CHECKS!A:I,9,FALSE)</f>
        <v>#FF7E2E</v>
      </c>
      <c r="O128" s="4">
        <f>VLOOKUP(C128,CHECKS!A:I,6,FALSE)</f>
        <v>1.62</v>
      </c>
      <c r="P128" s="4">
        <f>VLOOKUP(C128,CHECKS!A:I,7,FALSE)</f>
        <v>4</v>
      </c>
      <c r="Q128" s="4">
        <f>VLOOKUP(C128,CHECKS!A:I,8,FALSE)</f>
        <v>7</v>
      </c>
      <c r="R128">
        <v>126</v>
      </c>
    </row>
    <row r="129" spans="1:18" x14ac:dyDescent="0.2">
      <c r="A129" s="4">
        <v>1280</v>
      </c>
      <c r="B129" s="2" t="s">
        <v>399</v>
      </c>
      <c r="C129" s="4" t="s">
        <v>402</v>
      </c>
      <c r="D129" s="2" t="s">
        <v>418</v>
      </c>
      <c r="E129" s="2" t="s">
        <v>398</v>
      </c>
      <c r="F129" s="2" t="s">
        <v>418</v>
      </c>
      <c r="G129" s="4">
        <f t="shared" si="1"/>
        <v>3</v>
      </c>
      <c r="H129" s="2" t="s">
        <v>1417</v>
      </c>
      <c r="J129" s="2" t="s">
        <v>417</v>
      </c>
      <c r="K129" s="2" t="s">
        <v>1447</v>
      </c>
      <c r="L129" s="7">
        <v>48.830972672999998</v>
      </c>
      <c r="M129" s="7">
        <v>2.3555802740799998</v>
      </c>
      <c r="N129" s="4" t="str">
        <f>VLOOKUP(C129,CHECKS!A:I,9,FALSE)</f>
        <v>#FF7E2E</v>
      </c>
      <c r="O129" s="4">
        <f>VLOOKUP(C129,CHECKS!A:I,6,FALSE)</f>
        <v>1.62</v>
      </c>
      <c r="P129" s="4">
        <f>VLOOKUP(C129,CHECKS!A:I,7,FALSE)</f>
        <v>4</v>
      </c>
      <c r="Q129" s="4">
        <f>VLOOKUP(C129,CHECKS!A:I,8,FALSE)</f>
        <v>7</v>
      </c>
      <c r="R129">
        <v>127</v>
      </c>
    </row>
    <row r="130" spans="1:18" x14ac:dyDescent="0.2">
      <c r="A130" s="4">
        <v>1290</v>
      </c>
      <c r="B130" s="2" t="s">
        <v>400</v>
      </c>
      <c r="C130" s="4" t="s">
        <v>419</v>
      </c>
      <c r="D130" s="2" t="s">
        <v>96</v>
      </c>
      <c r="E130" s="2" t="s">
        <v>401</v>
      </c>
      <c r="F130" s="2" t="s">
        <v>96</v>
      </c>
      <c r="G130" s="4">
        <f t="shared" ref="G130:G193" si="2">COUNTIF(F:F,F130)</f>
        <v>4</v>
      </c>
      <c r="H130" s="2" t="s">
        <v>1387</v>
      </c>
      <c r="I130" s="2" t="s">
        <v>2371</v>
      </c>
      <c r="J130" s="2" t="s">
        <v>420</v>
      </c>
      <c r="K130" s="2" t="s">
        <v>1434</v>
      </c>
      <c r="L130" s="7">
        <v>48.874748650699999</v>
      </c>
      <c r="M130" s="7">
        <v>2.2955602562099999</v>
      </c>
      <c r="N130" s="4" t="str">
        <f>VLOOKUP(C130,CHECKS!A:I,9,FALSE)</f>
        <v>#6ECA97</v>
      </c>
      <c r="O130" s="4">
        <f>VLOOKUP(C130,CHECKS!A:I,6,FALSE)</f>
        <v>1.1499999999999999</v>
      </c>
      <c r="P130" s="4">
        <f>VLOOKUP(C130,CHECKS!A:I,7,FALSE)</f>
        <v>4</v>
      </c>
      <c r="Q130" s="4">
        <f>VLOOKUP(C130,CHECKS!A:I,8,FALSE)</f>
        <v>7</v>
      </c>
      <c r="R130">
        <v>128</v>
      </c>
    </row>
    <row r="131" spans="1:18" x14ac:dyDescent="0.2">
      <c r="A131" s="4">
        <v>1300</v>
      </c>
      <c r="B131" s="2" t="s">
        <v>401</v>
      </c>
      <c r="C131" s="4" t="s">
        <v>419</v>
      </c>
      <c r="D131" s="2" t="s">
        <v>420</v>
      </c>
      <c r="E131" s="2" t="s">
        <v>441</v>
      </c>
      <c r="F131" s="2" t="s">
        <v>420</v>
      </c>
      <c r="G131" s="4">
        <f t="shared" si="2"/>
        <v>1</v>
      </c>
      <c r="J131" s="2" t="s">
        <v>546</v>
      </c>
      <c r="L131" s="7">
        <v>48.871649769100003</v>
      </c>
      <c r="M131" s="7">
        <v>2.2935242903400002</v>
      </c>
      <c r="N131" s="4" t="str">
        <f>VLOOKUP(C131,CHECKS!A:I,9,FALSE)</f>
        <v>#6ECA97</v>
      </c>
      <c r="O131" s="4">
        <f>VLOOKUP(C131,CHECKS!A:I,6,FALSE)</f>
        <v>1.1499999999999999</v>
      </c>
      <c r="P131" s="4">
        <f>VLOOKUP(C131,CHECKS!A:I,7,FALSE)</f>
        <v>4</v>
      </c>
      <c r="Q131" s="4">
        <f>VLOOKUP(C131,CHECKS!A:I,8,FALSE)</f>
        <v>7</v>
      </c>
      <c r="R131">
        <v>129</v>
      </c>
    </row>
    <row r="132" spans="1:18" x14ac:dyDescent="0.2">
      <c r="A132" s="4">
        <v>1310</v>
      </c>
      <c r="B132" s="2" t="s">
        <v>442</v>
      </c>
      <c r="C132" s="4" t="s">
        <v>419</v>
      </c>
      <c r="D132" s="2" t="s">
        <v>421</v>
      </c>
      <c r="E132" s="2" t="s">
        <v>443</v>
      </c>
      <c r="F132" s="2" t="s">
        <v>421</v>
      </c>
      <c r="G132" s="4">
        <f t="shared" si="2"/>
        <v>1</v>
      </c>
      <c r="J132" s="2" t="s">
        <v>547</v>
      </c>
      <c r="L132" s="7">
        <v>48.8669831104</v>
      </c>
      <c r="M132" s="7">
        <v>2.29005883493</v>
      </c>
      <c r="N132" s="4" t="str">
        <f>VLOOKUP(C132,CHECKS!A:I,9,FALSE)</f>
        <v>#6ECA97</v>
      </c>
      <c r="O132" s="4">
        <f>VLOOKUP(C132,CHECKS!A:I,6,FALSE)</f>
        <v>1.1499999999999999</v>
      </c>
      <c r="P132" s="4">
        <f>VLOOKUP(C132,CHECKS!A:I,7,FALSE)</f>
        <v>4</v>
      </c>
      <c r="Q132" s="4">
        <f>VLOOKUP(C132,CHECKS!A:I,8,FALSE)</f>
        <v>7</v>
      </c>
      <c r="R132">
        <v>130</v>
      </c>
    </row>
    <row r="133" spans="1:18" x14ac:dyDescent="0.2">
      <c r="A133" s="4">
        <v>1320</v>
      </c>
      <c r="B133" s="2" t="s">
        <v>444</v>
      </c>
      <c r="C133" s="4" t="s">
        <v>419</v>
      </c>
      <c r="D133" s="2" t="s">
        <v>422</v>
      </c>
      <c r="E133" s="2" t="s">
        <v>445</v>
      </c>
      <c r="F133" s="2" t="s">
        <v>422</v>
      </c>
      <c r="G133" s="4">
        <f t="shared" si="2"/>
        <v>2</v>
      </c>
      <c r="H133" s="2" t="s">
        <v>733</v>
      </c>
      <c r="J133" s="2" t="s">
        <v>548</v>
      </c>
      <c r="K133" s="2" t="s">
        <v>422</v>
      </c>
      <c r="L133" s="7">
        <v>48.863610937600001</v>
      </c>
      <c r="M133" s="7">
        <v>2.2875801625299998</v>
      </c>
      <c r="N133" s="4" t="str">
        <f>VLOOKUP(C133,CHECKS!A:I,9,FALSE)</f>
        <v>#6ECA97</v>
      </c>
      <c r="O133" s="4">
        <f>VLOOKUP(C133,CHECKS!A:I,6,FALSE)</f>
        <v>1.1499999999999999</v>
      </c>
      <c r="P133" s="4">
        <f>VLOOKUP(C133,CHECKS!A:I,7,FALSE)</f>
        <v>4</v>
      </c>
      <c r="Q133" s="4">
        <f>VLOOKUP(C133,CHECKS!A:I,8,FALSE)</f>
        <v>7</v>
      </c>
      <c r="R133">
        <v>131</v>
      </c>
    </row>
    <row r="134" spans="1:18" x14ac:dyDescent="0.2">
      <c r="A134" s="4">
        <v>1330</v>
      </c>
      <c r="B134" s="2" t="s">
        <v>446</v>
      </c>
      <c r="C134" s="4" t="s">
        <v>419</v>
      </c>
      <c r="D134" s="2" t="s">
        <v>423</v>
      </c>
      <c r="E134" s="2" t="s">
        <v>447</v>
      </c>
      <c r="F134" s="2" t="s">
        <v>423</v>
      </c>
      <c r="G134" s="4">
        <f t="shared" si="2"/>
        <v>1</v>
      </c>
      <c r="J134" s="2" t="s">
        <v>549</v>
      </c>
      <c r="L134" s="7">
        <v>48.857448691000002</v>
      </c>
      <c r="M134" s="7">
        <v>2.2858124441299998</v>
      </c>
      <c r="N134" s="4" t="str">
        <f>VLOOKUP(C134,CHECKS!A:I,9,FALSE)</f>
        <v>#6ECA97</v>
      </c>
      <c r="O134" s="4">
        <f>VLOOKUP(C134,CHECKS!A:I,6,FALSE)</f>
        <v>1.1499999999999999</v>
      </c>
      <c r="P134" s="4">
        <f>VLOOKUP(C134,CHECKS!A:I,7,FALSE)</f>
        <v>4</v>
      </c>
      <c r="Q134" s="4">
        <f>VLOOKUP(C134,CHECKS!A:I,8,FALSE)</f>
        <v>7</v>
      </c>
      <c r="R134">
        <v>132</v>
      </c>
    </row>
    <row r="135" spans="1:18" x14ac:dyDescent="0.2">
      <c r="A135" s="4">
        <v>1340</v>
      </c>
      <c r="B135" s="2" t="s">
        <v>448</v>
      </c>
      <c r="C135" s="4" t="s">
        <v>419</v>
      </c>
      <c r="D135" s="2" t="s">
        <v>424</v>
      </c>
      <c r="E135" s="2" t="s">
        <v>449</v>
      </c>
      <c r="F135" s="2" t="s">
        <v>424</v>
      </c>
      <c r="G135" s="4">
        <f t="shared" si="2"/>
        <v>1</v>
      </c>
      <c r="J135" s="2" t="s">
        <v>550</v>
      </c>
      <c r="L135" s="7">
        <v>48.853942607100002</v>
      </c>
      <c r="M135" s="7">
        <v>2.2893345327699999</v>
      </c>
      <c r="N135" s="4" t="str">
        <f>VLOOKUP(C135,CHECKS!A:I,9,FALSE)</f>
        <v>#6ECA97</v>
      </c>
      <c r="O135" s="4">
        <f>VLOOKUP(C135,CHECKS!A:I,6,FALSE)</f>
        <v>1.1499999999999999</v>
      </c>
      <c r="P135" s="4">
        <f>VLOOKUP(C135,CHECKS!A:I,7,FALSE)</f>
        <v>4</v>
      </c>
      <c r="Q135" s="4">
        <f>VLOOKUP(C135,CHECKS!A:I,8,FALSE)</f>
        <v>7</v>
      </c>
      <c r="R135">
        <v>133</v>
      </c>
    </row>
    <row r="136" spans="1:18" x14ac:dyDescent="0.2">
      <c r="A136" s="4">
        <v>1350</v>
      </c>
      <c r="B136" s="2" t="s">
        <v>450</v>
      </c>
      <c r="C136" s="4" t="s">
        <v>419</v>
      </c>
      <c r="D136" s="2" t="s">
        <v>425</v>
      </c>
      <c r="E136" s="2" t="s">
        <v>451</v>
      </c>
      <c r="F136" s="2" t="s">
        <v>425</v>
      </c>
      <c r="G136" s="4">
        <f t="shared" si="2"/>
        <v>1</v>
      </c>
      <c r="J136" s="2" t="s">
        <v>551</v>
      </c>
      <c r="L136" s="7">
        <v>48.850434548999999</v>
      </c>
      <c r="M136" s="7">
        <v>2.29361243991</v>
      </c>
      <c r="N136" s="4" t="str">
        <f>VLOOKUP(C136,CHECKS!A:I,9,FALSE)</f>
        <v>#6ECA97</v>
      </c>
      <c r="O136" s="4">
        <f>VLOOKUP(C136,CHECKS!A:I,6,FALSE)</f>
        <v>1.1499999999999999</v>
      </c>
      <c r="P136" s="4">
        <f>VLOOKUP(C136,CHECKS!A:I,7,FALSE)</f>
        <v>4</v>
      </c>
      <c r="Q136" s="4">
        <f>VLOOKUP(C136,CHECKS!A:I,8,FALSE)</f>
        <v>7</v>
      </c>
      <c r="R136">
        <v>134</v>
      </c>
    </row>
    <row r="137" spans="1:18" x14ac:dyDescent="0.2">
      <c r="A137" s="4">
        <v>1360</v>
      </c>
      <c r="B137" s="2" t="s">
        <v>452</v>
      </c>
      <c r="C137" s="4" t="s">
        <v>419</v>
      </c>
      <c r="D137" s="2" t="s">
        <v>426</v>
      </c>
      <c r="E137" s="2" t="s">
        <v>453</v>
      </c>
      <c r="F137" s="2" t="s">
        <v>426</v>
      </c>
      <c r="G137" s="4">
        <f t="shared" si="2"/>
        <v>3</v>
      </c>
      <c r="H137" s="2" t="s">
        <v>1402</v>
      </c>
      <c r="J137" s="2" t="s">
        <v>552</v>
      </c>
      <c r="K137" s="2" t="s">
        <v>1448</v>
      </c>
      <c r="L137" s="7">
        <v>48.848741665699997</v>
      </c>
      <c r="M137" s="7">
        <v>2.2989309117499999</v>
      </c>
      <c r="N137" s="4" t="str">
        <f>VLOOKUP(C137,CHECKS!A:I,9,FALSE)</f>
        <v>#6ECA97</v>
      </c>
      <c r="O137" s="4">
        <f>VLOOKUP(C137,CHECKS!A:I,6,FALSE)</f>
        <v>1.1499999999999999</v>
      </c>
      <c r="P137" s="4">
        <f>VLOOKUP(C137,CHECKS!A:I,7,FALSE)</f>
        <v>4</v>
      </c>
      <c r="Q137" s="4">
        <f>VLOOKUP(C137,CHECKS!A:I,8,FALSE)</f>
        <v>7</v>
      </c>
      <c r="R137">
        <v>135</v>
      </c>
    </row>
    <row r="138" spans="1:18" x14ac:dyDescent="0.2">
      <c r="A138" s="4">
        <v>1370</v>
      </c>
      <c r="B138" s="2" t="s">
        <v>454</v>
      </c>
      <c r="C138" s="4" t="s">
        <v>419</v>
      </c>
      <c r="D138" s="2" t="s">
        <v>427</v>
      </c>
      <c r="E138" s="2" t="s">
        <v>455</v>
      </c>
      <c r="F138" s="2" t="s">
        <v>427</v>
      </c>
      <c r="G138" s="4">
        <f t="shared" si="2"/>
        <v>1</v>
      </c>
      <c r="J138" s="2" t="s">
        <v>553</v>
      </c>
      <c r="L138" s="7">
        <v>48.847507081099998</v>
      </c>
      <c r="M138" s="7">
        <v>2.3029682991899998</v>
      </c>
      <c r="N138" s="4" t="str">
        <f>VLOOKUP(C138,CHECKS!A:I,9,FALSE)</f>
        <v>#6ECA97</v>
      </c>
      <c r="O138" s="4">
        <f>VLOOKUP(C138,CHECKS!A:I,6,FALSE)</f>
        <v>1.1499999999999999</v>
      </c>
      <c r="P138" s="4">
        <f>VLOOKUP(C138,CHECKS!A:I,7,FALSE)</f>
        <v>4</v>
      </c>
      <c r="Q138" s="4">
        <f>VLOOKUP(C138,CHECKS!A:I,8,FALSE)</f>
        <v>7</v>
      </c>
      <c r="R138">
        <v>136</v>
      </c>
    </row>
    <row r="139" spans="1:18" x14ac:dyDescent="0.2">
      <c r="A139" s="4">
        <v>1380</v>
      </c>
      <c r="B139" s="2" t="s">
        <v>456</v>
      </c>
      <c r="C139" s="4" t="s">
        <v>419</v>
      </c>
      <c r="D139" s="2" t="s">
        <v>428</v>
      </c>
      <c r="E139" s="2" t="s">
        <v>457</v>
      </c>
      <c r="F139" s="2" t="s">
        <v>1188</v>
      </c>
      <c r="G139" s="4">
        <f t="shared" si="2"/>
        <v>1</v>
      </c>
      <c r="J139" s="2" t="s">
        <v>554</v>
      </c>
      <c r="L139" s="7">
        <v>48.845626966700003</v>
      </c>
      <c r="M139" s="7">
        <v>2.3095314900999999</v>
      </c>
      <c r="N139" s="4" t="str">
        <f>VLOOKUP(C139,CHECKS!A:I,9,FALSE)</f>
        <v>#6ECA97</v>
      </c>
      <c r="O139" s="4">
        <f>VLOOKUP(C139,CHECKS!A:I,6,FALSE)</f>
        <v>1.1499999999999999</v>
      </c>
      <c r="P139" s="4">
        <f>VLOOKUP(C139,CHECKS!A:I,7,FALSE)</f>
        <v>4</v>
      </c>
      <c r="Q139" s="4">
        <f>VLOOKUP(C139,CHECKS!A:I,8,FALSE)</f>
        <v>7</v>
      </c>
      <c r="R139">
        <v>137</v>
      </c>
    </row>
    <row r="140" spans="1:18" x14ac:dyDescent="0.2">
      <c r="A140" s="4">
        <v>1390</v>
      </c>
      <c r="B140" s="2" t="s">
        <v>458</v>
      </c>
      <c r="C140" s="4" t="s">
        <v>419</v>
      </c>
      <c r="D140" s="2" t="s">
        <v>429</v>
      </c>
      <c r="E140" s="2" t="s">
        <v>459</v>
      </c>
      <c r="F140" s="2" t="s">
        <v>429</v>
      </c>
      <c r="G140" s="4">
        <f t="shared" si="2"/>
        <v>2</v>
      </c>
      <c r="H140" s="2" t="s">
        <v>1004</v>
      </c>
      <c r="J140" s="2" t="s">
        <v>555</v>
      </c>
      <c r="K140" s="2" t="s">
        <v>429</v>
      </c>
      <c r="L140" s="7">
        <v>48.842676820000001</v>
      </c>
      <c r="M140" s="7">
        <v>2.3128127734700001</v>
      </c>
      <c r="N140" s="4" t="str">
        <f>VLOOKUP(C140,CHECKS!A:I,9,FALSE)</f>
        <v>#6ECA97</v>
      </c>
      <c r="O140" s="4">
        <f>VLOOKUP(C140,CHECKS!A:I,6,FALSE)</f>
        <v>1.1499999999999999</v>
      </c>
      <c r="P140" s="4">
        <f>VLOOKUP(C140,CHECKS!A:I,7,FALSE)</f>
        <v>4</v>
      </c>
      <c r="Q140" s="4">
        <f>VLOOKUP(C140,CHECKS!A:I,8,FALSE)</f>
        <v>7</v>
      </c>
      <c r="R140">
        <v>138</v>
      </c>
    </row>
    <row r="141" spans="1:18" x14ac:dyDescent="0.2">
      <c r="A141" s="4">
        <v>1400</v>
      </c>
      <c r="B141" s="2" t="s">
        <v>460</v>
      </c>
      <c r="C141" s="4" t="s">
        <v>419</v>
      </c>
      <c r="D141" s="2" t="s">
        <v>322</v>
      </c>
      <c r="E141" s="2" t="s">
        <v>461</v>
      </c>
      <c r="F141" s="2" t="s">
        <v>322</v>
      </c>
      <c r="G141" s="4">
        <f t="shared" si="2"/>
        <v>4</v>
      </c>
      <c r="H141" s="2" t="s">
        <v>1408</v>
      </c>
      <c r="J141" s="2" t="s">
        <v>556</v>
      </c>
      <c r="K141" s="2" t="s">
        <v>1446</v>
      </c>
      <c r="L141" s="7">
        <v>48.8421022072</v>
      </c>
      <c r="M141" s="7">
        <v>2.3212785627399999</v>
      </c>
      <c r="N141" s="4" t="str">
        <f>VLOOKUP(C141,CHECKS!A:I,9,FALSE)</f>
        <v>#6ECA97</v>
      </c>
      <c r="O141" s="4">
        <f>VLOOKUP(C141,CHECKS!A:I,6,FALSE)</f>
        <v>1.1499999999999999</v>
      </c>
      <c r="P141" s="4">
        <f>VLOOKUP(C141,CHECKS!A:I,7,FALSE)</f>
        <v>4</v>
      </c>
      <c r="Q141" s="4">
        <f>VLOOKUP(C141,CHECKS!A:I,8,FALSE)</f>
        <v>7</v>
      </c>
      <c r="R141">
        <v>139</v>
      </c>
    </row>
    <row r="142" spans="1:18" x14ac:dyDescent="0.2">
      <c r="A142" s="4">
        <v>1410</v>
      </c>
      <c r="B142" s="2" t="s">
        <v>462</v>
      </c>
      <c r="C142" s="4" t="s">
        <v>419</v>
      </c>
      <c r="D142" s="2" t="s">
        <v>430</v>
      </c>
      <c r="E142" s="2" t="s">
        <v>463</v>
      </c>
      <c r="F142" s="2" t="s">
        <v>430</v>
      </c>
      <c r="G142" s="4">
        <f t="shared" si="2"/>
        <v>1</v>
      </c>
      <c r="J142" s="2" t="s">
        <v>373</v>
      </c>
      <c r="L142" s="7">
        <v>48.840663229299999</v>
      </c>
      <c r="M142" s="7">
        <v>2.3263846107899999</v>
      </c>
      <c r="N142" s="4" t="str">
        <f>VLOOKUP(C142,CHECKS!A:I,9,FALSE)</f>
        <v>#6ECA97</v>
      </c>
      <c r="O142" s="4">
        <f>VLOOKUP(C142,CHECKS!A:I,6,FALSE)</f>
        <v>1.1499999999999999</v>
      </c>
      <c r="P142" s="4">
        <f>VLOOKUP(C142,CHECKS!A:I,7,FALSE)</f>
        <v>4</v>
      </c>
      <c r="Q142" s="4">
        <f>VLOOKUP(C142,CHECKS!A:I,8,FALSE)</f>
        <v>7</v>
      </c>
      <c r="R142">
        <v>140</v>
      </c>
    </row>
    <row r="143" spans="1:18" x14ac:dyDescent="0.2">
      <c r="A143" s="4">
        <v>1420</v>
      </c>
      <c r="B143" s="2" t="s">
        <v>464</v>
      </c>
      <c r="C143" s="4" t="s">
        <v>419</v>
      </c>
      <c r="D143" s="2" t="s">
        <v>324</v>
      </c>
      <c r="E143" s="2" t="s">
        <v>465</v>
      </c>
      <c r="F143" s="2" t="s">
        <v>324</v>
      </c>
      <c r="G143" s="4">
        <f t="shared" si="2"/>
        <v>2</v>
      </c>
      <c r="H143" s="2" t="s">
        <v>300</v>
      </c>
      <c r="J143" s="2" t="s">
        <v>557</v>
      </c>
      <c r="K143" s="2" t="s">
        <v>324</v>
      </c>
      <c r="L143" s="7">
        <v>48.838964280699997</v>
      </c>
      <c r="M143" s="7">
        <v>2.3307541920900001</v>
      </c>
      <c r="N143" s="4" t="str">
        <f>VLOOKUP(C143,CHECKS!A:I,9,FALSE)</f>
        <v>#6ECA97</v>
      </c>
      <c r="O143" s="4">
        <f>VLOOKUP(C143,CHECKS!A:I,6,FALSE)</f>
        <v>1.1499999999999999</v>
      </c>
      <c r="P143" s="4">
        <f>VLOOKUP(C143,CHECKS!A:I,7,FALSE)</f>
        <v>4</v>
      </c>
      <c r="Q143" s="4">
        <f>VLOOKUP(C143,CHECKS!A:I,8,FALSE)</f>
        <v>7</v>
      </c>
      <c r="R143">
        <v>141</v>
      </c>
    </row>
    <row r="144" spans="1:18" x14ac:dyDescent="0.2">
      <c r="A144" s="4">
        <v>1430</v>
      </c>
      <c r="B144" s="2" t="s">
        <v>466</v>
      </c>
      <c r="C144" s="4" t="s">
        <v>419</v>
      </c>
      <c r="D144" s="2" t="s">
        <v>325</v>
      </c>
      <c r="E144" s="2" t="s">
        <v>467</v>
      </c>
      <c r="F144" s="2" t="s">
        <v>325</v>
      </c>
      <c r="G144" s="4">
        <f t="shared" si="2"/>
        <v>3</v>
      </c>
      <c r="H144" s="2" t="s">
        <v>301</v>
      </c>
      <c r="I144" s="2" t="s">
        <v>2502</v>
      </c>
      <c r="J144" s="2" t="s">
        <v>558</v>
      </c>
      <c r="K144" s="2" t="s">
        <v>325</v>
      </c>
      <c r="L144" s="7">
        <v>48.834292980500003</v>
      </c>
      <c r="M144" s="7">
        <v>2.3328523099599998</v>
      </c>
      <c r="N144" s="4" t="str">
        <f>VLOOKUP(C144,CHECKS!A:I,9,FALSE)</f>
        <v>#6ECA97</v>
      </c>
      <c r="O144" s="4">
        <f>VLOOKUP(C144,CHECKS!A:I,6,FALSE)</f>
        <v>1.1499999999999999</v>
      </c>
      <c r="P144" s="4">
        <f>VLOOKUP(C144,CHECKS!A:I,7,FALSE)</f>
        <v>4</v>
      </c>
      <c r="Q144" s="4">
        <f>VLOOKUP(C144,CHECKS!A:I,8,FALSE)</f>
        <v>7</v>
      </c>
      <c r="R144">
        <v>142</v>
      </c>
    </row>
    <row r="145" spans="1:18" x14ac:dyDescent="0.2">
      <c r="A145" s="4">
        <v>1440</v>
      </c>
      <c r="B145" s="2" t="s">
        <v>468</v>
      </c>
      <c r="C145" s="4" t="s">
        <v>419</v>
      </c>
      <c r="D145" s="2" t="s">
        <v>431</v>
      </c>
      <c r="E145" s="2" t="s">
        <v>469</v>
      </c>
      <c r="F145" s="2" t="s">
        <v>431</v>
      </c>
      <c r="G145" s="4">
        <f t="shared" si="2"/>
        <v>1</v>
      </c>
      <c r="J145" s="2" t="s">
        <v>559</v>
      </c>
      <c r="L145" s="7">
        <v>48.8329008165</v>
      </c>
      <c r="M145" s="7">
        <v>2.3371351906100002</v>
      </c>
      <c r="N145" s="4" t="str">
        <f>VLOOKUP(C145,CHECKS!A:I,9,FALSE)</f>
        <v>#6ECA97</v>
      </c>
      <c r="O145" s="4">
        <f>VLOOKUP(C145,CHECKS!A:I,6,FALSE)</f>
        <v>1.1499999999999999</v>
      </c>
      <c r="P145" s="4">
        <f>VLOOKUP(C145,CHECKS!A:I,7,FALSE)</f>
        <v>4</v>
      </c>
      <c r="Q145" s="4">
        <f>VLOOKUP(C145,CHECKS!A:I,8,FALSE)</f>
        <v>7</v>
      </c>
      <c r="R145">
        <v>143</v>
      </c>
    </row>
    <row r="146" spans="1:18" x14ac:dyDescent="0.2">
      <c r="A146" s="4">
        <v>1450</v>
      </c>
      <c r="B146" s="2" t="s">
        <v>470</v>
      </c>
      <c r="C146" s="4" t="s">
        <v>419</v>
      </c>
      <c r="D146" s="2" t="s">
        <v>432</v>
      </c>
      <c r="E146" s="2" t="s">
        <v>471</v>
      </c>
      <c r="F146" s="2" t="s">
        <v>432</v>
      </c>
      <c r="G146" s="4">
        <f t="shared" si="2"/>
        <v>1</v>
      </c>
      <c r="J146" s="2" t="s">
        <v>560</v>
      </c>
      <c r="L146" s="7">
        <v>48.831129548</v>
      </c>
      <c r="M146" s="7">
        <v>2.3435116577500001</v>
      </c>
      <c r="N146" s="4" t="str">
        <f>VLOOKUP(C146,CHECKS!A:I,9,FALSE)</f>
        <v>#6ECA97</v>
      </c>
      <c r="O146" s="4">
        <f>VLOOKUP(C146,CHECKS!A:I,6,FALSE)</f>
        <v>1.1499999999999999</v>
      </c>
      <c r="P146" s="4">
        <f>VLOOKUP(C146,CHECKS!A:I,7,FALSE)</f>
        <v>4</v>
      </c>
      <c r="Q146" s="4">
        <f>VLOOKUP(C146,CHECKS!A:I,8,FALSE)</f>
        <v>7</v>
      </c>
      <c r="R146">
        <v>144</v>
      </c>
    </row>
    <row r="147" spans="1:18" x14ac:dyDescent="0.2">
      <c r="A147" s="4">
        <v>1460</v>
      </c>
      <c r="B147" s="2" t="s">
        <v>472</v>
      </c>
      <c r="C147" s="4" t="s">
        <v>419</v>
      </c>
      <c r="D147" s="2" t="s">
        <v>433</v>
      </c>
      <c r="E147" s="2" t="s">
        <v>473</v>
      </c>
      <c r="F147" s="2" t="s">
        <v>433</v>
      </c>
      <c r="G147" s="4">
        <f t="shared" si="2"/>
        <v>1</v>
      </c>
      <c r="J147" s="2" t="s">
        <v>561</v>
      </c>
      <c r="L147" s="7">
        <v>48.829790513699997</v>
      </c>
      <c r="M147" s="7">
        <v>2.35041487201</v>
      </c>
      <c r="N147" s="4" t="str">
        <f>VLOOKUP(C147,CHECKS!A:I,9,FALSE)</f>
        <v>#6ECA97</v>
      </c>
      <c r="O147" s="4">
        <f>VLOOKUP(C147,CHECKS!A:I,6,FALSE)</f>
        <v>1.1499999999999999</v>
      </c>
      <c r="P147" s="4">
        <f>VLOOKUP(C147,CHECKS!A:I,7,FALSE)</f>
        <v>4</v>
      </c>
      <c r="Q147" s="4">
        <f>VLOOKUP(C147,CHECKS!A:I,8,FALSE)</f>
        <v>7</v>
      </c>
      <c r="R147">
        <v>145</v>
      </c>
    </row>
    <row r="148" spans="1:18" x14ac:dyDescent="0.2">
      <c r="A148" s="4">
        <v>1470</v>
      </c>
      <c r="B148" s="2" t="s">
        <v>474</v>
      </c>
      <c r="C148" s="4" t="s">
        <v>419</v>
      </c>
      <c r="D148" s="2" t="s">
        <v>418</v>
      </c>
      <c r="E148" s="2" t="s">
        <v>475</v>
      </c>
      <c r="F148" s="2" t="s">
        <v>418</v>
      </c>
      <c r="G148" s="4">
        <f t="shared" si="2"/>
        <v>3</v>
      </c>
      <c r="H148" s="2" t="s">
        <v>1418</v>
      </c>
      <c r="J148" s="2" t="s">
        <v>562</v>
      </c>
      <c r="K148" s="2" t="s">
        <v>1447</v>
      </c>
      <c r="L148" s="7">
        <v>48.830927240999998</v>
      </c>
      <c r="M148" s="7">
        <v>2.3561219387999999</v>
      </c>
      <c r="N148" s="4" t="str">
        <f>VLOOKUP(C148,CHECKS!A:I,9,FALSE)</f>
        <v>#6ECA97</v>
      </c>
      <c r="O148" s="4">
        <f>VLOOKUP(C148,CHECKS!A:I,6,FALSE)</f>
        <v>1.1499999999999999</v>
      </c>
      <c r="P148" s="4">
        <f>VLOOKUP(C148,CHECKS!A:I,7,FALSE)</f>
        <v>4</v>
      </c>
      <c r="Q148" s="4">
        <f>VLOOKUP(C148,CHECKS!A:I,8,FALSE)</f>
        <v>7</v>
      </c>
      <c r="R148">
        <v>146</v>
      </c>
    </row>
    <row r="149" spans="1:18" x14ac:dyDescent="0.2">
      <c r="A149" s="4">
        <v>1480</v>
      </c>
      <c r="B149" s="2" t="s">
        <v>476</v>
      </c>
      <c r="C149" s="4" t="s">
        <v>419</v>
      </c>
      <c r="D149" s="2" t="s">
        <v>434</v>
      </c>
      <c r="E149" s="2" t="s">
        <v>477</v>
      </c>
      <c r="F149" s="2" t="s">
        <v>434</v>
      </c>
      <c r="G149" s="4">
        <f t="shared" si="2"/>
        <v>1</v>
      </c>
      <c r="J149" s="2" t="s">
        <v>563</v>
      </c>
      <c r="L149" s="7">
        <v>48.833216719699998</v>
      </c>
      <c r="M149" s="7">
        <v>2.36285639952</v>
      </c>
      <c r="N149" s="4" t="str">
        <f>VLOOKUP(C149,CHECKS!A:I,9,FALSE)</f>
        <v>#6ECA97</v>
      </c>
      <c r="O149" s="4">
        <f>VLOOKUP(C149,CHECKS!A:I,6,FALSE)</f>
        <v>1.1499999999999999</v>
      </c>
      <c r="P149" s="4">
        <f>VLOOKUP(C149,CHECKS!A:I,7,FALSE)</f>
        <v>4</v>
      </c>
      <c r="Q149" s="4">
        <f>VLOOKUP(C149,CHECKS!A:I,8,FALSE)</f>
        <v>7</v>
      </c>
      <c r="R149">
        <v>147</v>
      </c>
    </row>
    <row r="150" spans="1:18" x14ac:dyDescent="0.2">
      <c r="A150" s="4">
        <v>1490</v>
      </c>
      <c r="B150" s="2" t="s">
        <v>478</v>
      </c>
      <c r="C150" s="4" t="s">
        <v>419</v>
      </c>
      <c r="D150" s="2" t="s">
        <v>435</v>
      </c>
      <c r="E150" s="2" t="s">
        <v>479</v>
      </c>
      <c r="F150" s="2" t="s">
        <v>435</v>
      </c>
      <c r="G150" s="4">
        <f t="shared" si="2"/>
        <v>1</v>
      </c>
      <c r="J150" s="2" t="s">
        <v>564</v>
      </c>
      <c r="L150" s="7">
        <v>48.834947722300001</v>
      </c>
      <c r="M150" s="7">
        <v>2.3681263290599999</v>
      </c>
      <c r="N150" s="4" t="str">
        <f>VLOOKUP(C150,CHECKS!A:I,9,FALSE)</f>
        <v>#6ECA97</v>
      </c>
      <c r="O150" s="4">
        <f>VLOOKUP(C150,CHECKS!A:I,6,FALSE)</f>
        <v>1.1499999999999999</v>
      </c>
      <c r="P150" s="4">
        <f>VLOOKUP(C150,CHECKS!A:I,7,FALSE)</f>
        <v>4</v>
      </c>
      <c r="Q150" s="4">
        <f>VLOOKUP(C150,CHECKS!A:I,8,FALSE)</f>
        <v>7</v>
      </c>
      <c r="R150">
        <v>148</v>
      </c>
    </row>
    <row r="151" spans="1:18" x14ac:dyDescent="0.2">
      <c r="A151" s="4">
        <v>1500</v>
      </c>
      <c r="B151" s="2" t="s">
        <v>480</v>
      </c>
      <c r="C151" s="4" t="s">
        <v>419</v>
      </c>
      <c r="D151" s="2" t="s">
        <v>436</v>
      </c>
      <c r="E151" s="2" t="s">
        <v>481</v>
      </c>
      <c r="F151" s="2" t="s">
        <v>436</v>
      </c>
      <c r="G151" s="4">
        <f t="shared" si="2"/>
        <v>1</v>
      </c>
      <c r="J151" s="2" t="s">
        <v>565</v>
      </c>
      <c r="L151" s="7">
        <v>48.837045119199999</v>
      </c>
      <c r="M151" s="7">
        <v>2.37282572183</v>
      </c>
      <c r="N151" s="4" t="str">
        <f>VLOOKUP(C151,CHECKS!A:I,9,FALSE)</f>
        <v>#6ECA97</v>
      </c>
      <c r="O151" s="4">
        <f>VLOOKUP(C151,CHECKS!A:I,6,FALSE)</f>
        <v>1.1499999999999999</v>
      </c>
      <c r="P151" s="4">
        <f>VLOOKUP(C151,CHECKS!A:I,7,FALSE)</f>
        <v>4</v>
      </c>
      <c r="Q151" s="4">
        <f>VLOOKUP(C151,CHECKS!A:I,8,FALSE)</f>
        <v>7</v>
      </c>
      <c r="R151">
        <v>149</v>
      </c>
    </row>
    <row r="152" spans="1:18" x14ac:dyDescent="0.2">
      <c r="A152" s="4">
        <v>1510</v>
      </c>
      <c r="B152" s="2" t="s">
        <v>482</v>
      </c>
      <c r="C152" s="4" t="s">
        <v>419</v>
      </c>
      <c r="D152" s="2" t="s">
        <v>437</v>
      </c>
      <c r="E152" s="2" t="s">
        <v>483</v>
      </c>
      <c r="F152" s="2" t="s">
        <v>437</v>
      </c>
      <c r="G152" s="4">
        <f t="shared" si="2"/>
        <v>2</v>
      </c>
      <c r="H152" s="2" t="s">
        <v>1046</v>
      </c>
      <c r="J152" s="2" t="s">
        <v>566</v>
      </c>
      <c r="K152" s="2" t="s">
        <v>437</v>
      </c>
      <c r="L152" s="7">
        <v>48.840388748099997</v>
      </c>
      <c r="M152" s="7">
        <v>2.3799112714500001</v>
      </c>
      <c r="N152" s="4" t="str">
        <f>VLOOKUP(C152,CHECKS!A:I,9,FALSE)</f>
        <v>#6ECA97</v>
      </c>
      <c r="O152" s="4">
        <f>VLOOKUP(C152,CHECKS!A:I,6,FALSE)</f>
        <v>1.1499999999999999</v>
      </c>
      <c r="P152" s="4">
        <f>VLOOKUP(C152,CHECKS!A:I,7,FALSE)</f>
        <v>4</v>
      </c>
      <c r="Q152" s="4">
        <f>VLOOKUP(C152,CHECKS!A:I,8,FALSE)</f>
        <v>7</v>
      </c>
      <c r="R152">
        <v>150</v>
      </c>
    </row>
    <row r="153" spans="1:18" x14ac:dyDescent="0.2">
      <c r="A153" s="4">
        <v>1520</v>
      </c>
      <c r="B153" s="2" t="s">
        <v>484</v>
      </c>
      <c r="C153" s="4" t="s">
        <v>419</v>
      </c>
      <c r="D153" s="2" t="s">
        <v>438</v>
      </c>
      <c r="E153" s="2" t="s">
        <v>485</v>
      </c>
      <c r="F153" s="2" t="s">
        <v>438</v>
      </c>
      <c r="G153" s="4">
        <f t="shared" si="2"/>
        <v>1</v>
      </c>
      <c r="J153" s="2" t="s">
        <v>857</v>
      </c>
      <c r="L153" s="7">
        <v>48.839041143700001</v>
      </c>
      <c r="M153" s="7">
        <v>2.3896200113399999</v>
      </c>
      <c r="N153" s="4" t="str">
        <f>VLOOKUP(C153,CHECKS!A:I,9,FALSE)</f>
        <v>#6ECA97</v>
      </c>
      <c r="O153" s="4">
        <f>VLOOKUP(C153,CHECKS!A:I,6,FALSE)</f>
        <v>1.1499999999999999</v>
      </c>
      <c r="P153" s="4">
        <f>VLOOKUP(C153,CHECKS!A:I,7,FALSE)</f>
        <v>4</v>
      </c>
      <c r="Q153" s="4">
        <f>VLOOKUP(C153,CHECKS!A:I,8,FALSE)</f>
        <v>7</v>
      </c>
      <c r="R153">
        <v>151</v>
      </c>
    </row>
    <row r="154" spans="1:18" x14ac:dyDescent="0.2">
      <c r="A154" s="4">
        <v>1530</v>
      </c>
      <c r="B154" s="2" t="s">
        <v>486</v>
      </c>
      <c r="C154" s="4" t="s">
        <v>419</v>
      </c>
      <c r="D154" s="2" t="s">
        <v>808</v>
      </c>
      <c r="E154" s="2" t="s">
        <v>487</v>
      </c>
      <c r="F154" s="2" t="s">
        <v>808</v>
      </c>
      <c r="G154" s="4">
        <f t="shared" si="2"/>
        <v>2</v>
      </c>
      <c r="H154" s="2" t="s">
        <v>709</v>
      </c>
      <c r="J154" s="2" t="s">
        <v>567</v>
      </c>
      <c r="K154" s="2" t="s">
        <v>808</v>
      </c>
      <c r="L154" s="7">
        <v>48.839549645600002</v>
      </c>
      <c r="M154" s="7">
        <v>2.3957032894400001</v>
      </c>
      <c r="N154" s="4" t="str">
        <f>VLOOKUP(C154,CHECKS!A:I,9,FALSE)</f>
        <v>#6ECA97</v>
      </c>
      <c r="O154" s="4">
        <f>VLOOKUP(C154,CHECKS!A:I,6,FALSE)</f>
        <v>1.1499999999999999</v>
      </c>
      <c r="P154" s="4">
        <f>VLOOKUP(C154,CHECKS!A:I,7,FALSE)</f>
        <v>4</v>
      </c>
      <c r="Q154" s="4">
        <f>VLOOKUP(C154,CHECKS!A:I,8,FALSE)</f>
        <v>7</v>
      </c>
      <c r="R154">
        <v>152</v>
      </c>
    </row>
    <row r="155" spans="1:18" x14ac:dyDescent="0.2">
      <c r="A155" s="4">
        <v>1540</v>
      </c>
      <c r="B155" s="2" t="s">
        <v>488</v>
      </c>
      <c r="C155" s="4" t="s">
        <v>419</v>
      </c>
      <c r="D155" s="2" t="s">
        <v>439</v>
      </c>
      <c r="E155" s="2" t="s">
        <v>489</v>
      </c>
      <c r="F155" s="2" t="s">
        <v>439</v>
      </c>
      <c r="G155" s="4">
        <f t="shared" si="2"/>
        <v>1</v>
      </c>
      <c r="J155" s="2" t="s">
        <v>858</v>
      </c>
      <c r="L155" s="7">
        <v>48.841338250900002</v>
      </c>
      <c r="M155" s="7">
        <v>2.40091853812</v>
      </c>
      <c r="N155" s="4" t="str">
        <f>VLOOKUP(C155,CHECKS!A:I,9,FALSE)</f>
        <v>#6ECA97</v>
      </c>
      <c r="O155" s="4">
        <f>VLOOKUP(C155,CHECKS!A:I,6,FALSE)</f>
        <v>1.1499999999999999</v>
      </c>
      <c r="P155" s="4">
        <f>VLOOKUP(C155,CHECKS!A:I,7,FALSE)</f>
        <v>4</v>
      </c>
      <c r="Q155" s="4">
        <f>VLOOKUP(C155,CHECKS!A:I,8,FALSE)</f>
        <v>7</v>
      </c>
      <c r="R155">
        <v>153</v>
      </c>
    </row>
    <row r="156" spans="1:18" x14ac:dyDescent="0.2">
      <c r="A156" s="4">
        <v>1550</v>
      </c>
      <c r="B156" s="2" t="s">
        <v>490</v>
      </c>
      <c r="C156" s="4" t="s">
        <v>419</v>
      </c>
      <c r="D156" s="2" t="s">
        <v>440</v>
      </c>
      <c r="E156" s="2" t="s">
        <v>491</v>
      </c>
      <c r="F156" s="2" t="s">
        <v>440</v>
      </c>
      <c r="G156" s="4">
        <f t="shared" si="2"/>
        <v>1</v>
      </c>
      <c r="J156" s="2" t="s">
        <v>568</v>
      </c>
      <c r="L156" s="7">
        <v>48.845061579899998</v>
      </c>
      <c r="M156" s="7">
        <v>2.4012890198300001</v>
      </c>
      <c r="N156" s="4" t="str">
        <f>VLOOKUP(C156,CHECKS!A:I,9,FALSE)</f>
        <v>#6ECA97</v>
      </c>
      <c r="O156" s="4">
        <f>VLOOKUP(C156,CHECKS!A:I,6,FALSE)</f>
        <v>1.1499999999999999</v>
      </c>
      <c r="P156" s="4">
        <f>VLOOKUP(C156,CHECKS!A:I,7,FALSE)</f>
        <v>4</v>
      </c>
      <c r="Q156" s="4">
        <f>VLOOKUP(C156,CHECKS!A:I,8,FALSE)</f>
        <v>7</v>
      </c>
      <c r="R156">
        <v>154</v>
      </c>
    </row>
    <row r="157" spans="1:18" x14ac:dyDescent="0.2">
      <c r="A157" s="4">
        <v>1560</v>
      </c>
      <c r="B157" s="2" t="s">
        <v>492</v>
      </c>
      <c r="C157" s="4" t="s">
        <v>419</v>
      </c>
      <c r="D157" s="2" t="s">
        <v>25</v>
      </c>
      <c r="E157" s="2" t="s">
        <v>490</v>
      </c>
      <c r="F157" s="2" t="s">
        <v>25</v>
      </c>
      <c r="G157" s="4">
        <f t="shared" si="2"/>
        <v>5</v>
      </c>
      <c r="H157" s="2" t="s">
        <v>1412</v>
      </c>
      <c r="I157" s="2" t="s">
        <v>2375</v>
      </c>
      <c r="J157" s="2" t="s">
        <v>440</v>
      </c>
      <c r="K157" s="2" t="s">
        <v>1438</v>
      </c>
      <c r="L157" s="7">
        <v>48.847374878700002</v>
      </c>
      <c r="M157" s="7">
        <v>2.3954619948300002</v>
      </c>
      <c r="N157" s="4" t="str">
        <f>VLOOKUP(C157,CHECKS!A:I,9,FALSE)</f>
        <v>#6ECA97</v>
      </c>
      <c r="O157" s="4">
        <f>VLOOKUP(C157,CHECKS!A:I,6,FALSE)</f>
        <v>1.1499999999999999</v>
      </c>
      <c r="P157" s="4">
        <f>VLOOKUP(C157,CHECKS!A:I,7,FALSE)</f>
        <v>4</v>
      </c>
      <c r="Q157" s="4">
        <f>VLOOKUP(C157,CHECKS!A:I,8,FALSE)</f>
        <v>7</v>
      </c>
      <c r="R157">
        <v>155</v>
      </c>
    </row>
    <row r="158" spans="1:18" x14ac:dyDescent="0.2">
      <c r="A158" s="4">
        <v>1570</v>
      </c>
      <c r="B158" s="2" t="s">
        <v>569</v>
      </c>
      <c r="C158" s="4" t="s">
        <v>493</v>
      </c>
      <c r="D158" s="2" t="s">
        <v>494</v>
      </c>
      <c r="E158" s="2" t="s">
        <v>570</v>
      </c>
      <c r="F158" s="2" t="s">
        <v>494</v>
      </c>
      <c r="G158" s="4">
        <f t="shared" si="2"/>
        <v>2</v>
      </c>
      <c r="I158" s="2" t="s">
        <v>1579</v>
      </c>
      <c r="J158" s="2" t="s">
        <v>495</v>
      </c>
      <c r="L158" s="7">
        <v>48.920785969900002</v>
      </c>
      <c r="M158" s="7">
        <v>2.41059861373</v>
      </c>
      <c r="N158" s="4" t="str">
        <f>VLOOKUP(C158,CHECKS!A:I,9,FALSE)</f>
        <v>#FA9ABA</v>
      </c>
      <c r="O158" s="4">
        <f>VLOOKUP(C158,CHECKS!A:I,6,FALSE)</f>
        <v>1.49</v>
      </c>
      <c r="P158" s="4">
        <f>VLOOKUP(C158,CHECKS!A:I,7,FALSE)</f>
        <v>4</v>
      </c>
      <c r="Q158" s="4">
        <f>VLOOKUP(C158,CHECKS!A:I,8,FALSE)</f>
        <v>7</v>
      </c>
      <c r="R158">
        <v>156</v>
      </c>
    </row>
    <row r="159" spans="1:18" x14ac:dyDescent="0.2">
      <c r="A159" s="4">
        <v>1580</v>
      </c>
      <c r="B159" s="2" t="s">
        <v>570</v>
      </c>
      <c r="C159" s="4" t="s">
        <v>493</v>
      </c>
      <c r="D159" s="2" t="s">
        <v>495</v>
      </c>
      <c r="E159" s="2" t="s">
        <v>571</v>
      </c>
      <c r="F159" s="2" t="s">
        <v>495</v>
      </c>
      <c r="G159" s="4">
        <f t="shared" si="2"/>
        <v>1</v>
      </c>
      <c r="J159" s="2" t="s">
        <v>640</v>
      </c>
      <c r="L159" s="7">
        <v>48.914949756399999</v>
      </c>
      <c r="M159" s="7">
        <v>2.4044090874299999</v>
      </c>
      <c r="N159" s="4" t="str">
        <f>VLOOKUP(C159,CHECKS!A:I,9,FALSE)</f>
        <v>#FA9ABA</v>
      </c>
      <c r="O159" s="4">
        <f>VLOOKUP(C159,CHECKS!A:I,6,FALSE)</f>
        <v>1.49</v>
      </c>
      <c r="P159" s="4">
        <f>VLOOKUP(C159,CHECKS!A:I,7,FALSE)</f>
        <v>4</v>
      </c>
      <c r="Q159" s="4">
        <f>VLOOKUP(C159,CHECKS!A:I,8,FALSE)</f>
        <v>7</v>
      </c>
      <c r="R159">
        <v>157</v>
      </c>
    </row>
    <row r="160" spans="1:18" x14ac:dyDescent="0.2">
      <c r="A160" s="4">
        <v>1590</v>
      </c>
      <c r="B160" s="2" t="s">
        <v>572</v>
      </c>
      <c r="C160" s="4" t="s">
        <v>493</v>
      </c>
      <c r="D160" s="2" t="s">
        <v>496</v>
      </c>
      <c r="E160" s="2" t="s">
        <v>573</v>
      </c>
      <c r="F160" s="2" t="s">
        <v>496</v>
      </c>
      <c r="G160" s="4">
        <f t="shared" si="2"/>
        <v>1</v>
      </c>
      <c r="J160" s="2" t="s">
        <v>641</v>
      </c>
      <c r="L160" s="7">
        <v>48.903759930200003</v>
      </c>
      <c r="M160" s="7">
        <v>2.3922870596400001</v>
      </c>
      <c r="N160" s="4" t="str">
        <f>VLOOKUP(C160,CHECKS!A:I,9,FALSE)</f>
        <v>#FA9ABA</v>
      </c>
      <c r="O160" s="4">
        <f>VLOOKUP(C160,CHECKS!A:I,6,FALSE)</f>
        <v>1.49</v>
      </c>
      <c r="P160" s="4">
        <f>VLOOKUP(C160,CHECKS!A:I,7,FALSE)</f>
        <v>4</v>
      </c>
      <c r="Q160" s="4">
        <f>VLOOKUP(C160,CHECKS!A:I,8,FALSE)</f>
        <v>7</v>
      </c>
      <c r="R160">
        <v>158</v>
      </c>
    </row>
    <row r="161" spans="1:18" x14ac:dyDescent="0.2">
      <c r="A161" s="4">
        <v>1600</v>
      </c>
      <c r="B161" s="2" t="s">
        <v>574</v>
      </c>
      <c r="C161" s="4" t="s">
        <v>493</v>
      </c>
      <c r="D161" s="2" t="s">
        <v>497</v>
      </c>
      <c r="E161" s="2" t="s">
        <v>575</v>
      </c>
      <c r="F161" s="2" t="s">
        <v>497</v>
      </c>
      <c r="G161" s="4">
        <f t="shared" si="2"/>
        <v>2</v>
      </c>
      <c r="I161" s="2" t="s">
        <v>1801</v>
      </c>
      <c r="J161" s="2" t="s">
        <v>642</v>
      </c>
      <c r="L161" s="7">
        <v>48.897389890699998</v>
      </c>
      <c r="M161" s="7">
        <v>2.3855083876799998</v>
      </c>
      <c r="N161" s="4" t="str">
        <f>VLOOKUP(C161,CHECKS!A:I,9,FALSE)</f>
        <v>#FA9ABA</v>
      </c>
      <c r="O161" s="4">
        <f>VLOOKUP(C161,CHECKS!A:I,6,FALSE)</f>
        <v>1.49</v>
      </c>
      <c r="P161" s="4">
        <f>VLOOKUP(C161,CHECKS!A:I,7,FALSE)</f>
        <v>4</v>
      </c>
      <c r="Q161" s="4">
        <f>VLOOKUP(C161,CHECKS!A:I,8,FALSE)</f>
        <v>7</v>
      </c>
      <c r="R161">
        <v>159</v>
      </c>
    </row>
    <row r="162" spans="1:18" x14ac:dyDescent="0.2">
      <c r="A162" s="4">
        <v>1610</v>
      </c>
      <c r="B162" s="2" t="s">
        <v>576</v>
      </c>
      <c r="C162" s="4" t="s">
        <v>493</v>
      </c>
      <c r="D162" s="2" t="s">
        <v>498</v>
      </c>
      <c r="E162" s="2" t="s">
        <v>577</v>
      </c>
      <c r="F162" s="2" t="s">
        <v>498</v>
      </c>
      <c r="G162" s="4">
        <f t="shared" si="2"/>
        <v>1</v>
      </c>
      <c r="J162" s="2" t="s">
        <v>643</v>
      </c>
      <c r="L162" s="7">
        <v>48.894836468400001</v>
      </c>
      <c r="M162" s="7">
        <v>2.3825223434199998</v>
      </c>
      <c r="N162" s="4" t="str">
        <f>VLOOKUP(C162,CHECKS!A:I,9,FALSE)</f>
        <v>#FA9ABA</v>
      </c>
      <c r="O162" s="4">
        <f>VLOOKUP(C162,CHECKS!A:I,6,FALSE)</f>
        <v>1.49</v>
      </c>
      <c r="P162" s="4">
        <f>VLOOKUP(C162,CHECKS!A:I,7,FALSE)</f>
        <v>4</v>
      </c>
      <c r="Q162" s="4">
        <f>VLOOKUP(C162,CHECKS!A:I,8,FALSE)</f>
        <v>7</v>
      </c>
      <c r="R162">
        <v>160</v>
      </c>
    </row>
    <row r="163" spans="1:18" x14ac:dyDescent="0.2">
      <c r="A163" s="4">
        <v>1620</v>
      </c>
      <c r="B163" s="2" t="s">
        <v>578</v>
      </c>
      <c r="C163" s="4" t="s">
        <v>493</v>
      </c>
      <c r="D163" s="2" t="s">
        <v>499</v>
      </c>
      <c r="E163" s="2" t="s">
        <v>579</v>
      </c>
      <c r="F163" s="2" t="s">
        <v>499</v>
      </c>
      <c r="G163" s="4">
        <f t="shared" si="2"/>
        <v>1</v>
      </c>
      <c r="J163" s="2" t="s">
        <v>644</v>
      </c>
      <c r="L163" s="7">
        <v>48.890788969500001</v>
      </c>
      <c r="M163" s="7">
        <v>2.3773157556000002</v>
      </c>
      <c r="N163" s="4" t="str">
        <f>VLOOKUP(C163,CHECKS!A:I,9,FALSE)</f>
        <v>#FA9ABA</v>
      </c>
      <c r="O163" s="4">
        <f>VLOOKUP(C163,CHECKS!A:I,6,FALSE)</f>
        <v>1.49</v>
      </c>
      <c r="P163" s="4">
        <f>VLOOKUP(C163,CHECKS!A:I,7,FALSE)</f>
        <v>4</v>
      </c>
      <c r="Q163" s="4">
        <f>VLOOKUP(C163,CHECKS!A:I,8,FALSE)</f>
        <v>7</v>
      </c>
      <c r="R163">
        <v>161</v>
      </c>
    </row>
    <row r="164" spans="1:18" x14ac:dyDescent="0.2">
      <c r="A164" s="4">
        <v>1630</v>
      </c>
      <c r="B164" s="2" t="s">
        <v>580</v>
      </c>
      <c r="C164" s="4" t="s">
        <v>493</v>
      </c>
      <c r="D164" s="2" t="s">
        <v>500</v>
      </c>
      <c r="E164" s="2" t="s">
        <v>581</v>
      </c>
      <c r="F164" s="2" t="s">
        <v>500</v>
      </c>
      <c r="G164" s="4">
        <f t="shared" si="2"/>
        <v>1</v>
      </c>
      <c r="J164" s="2" t="s">
        <v>645</v>
      </c>
      <c r="L164" s="7">
        <v>48.888267616999997</v>
      </c>
      <c r="M164" s="7">
        <v>2.3742040120399999</v>
      </c>
      <c r="N164" s="4" t="str">
        <f>VLOOKUP(C164,CHECKS!A:I,9,FALSE)</f>
        <v>#FA9ABA</v>
      </c>
      <c r="O164" s="4">
        <f>VLOOKUP(C164,CHECKS!A:I,6,FALSE)</f>
        <v>1.49</v>
      </c>
      <c r="P164" s="4">
        <f>VLOOKUP(C164,CHECKS!A:I,7,FALSE)</f>
        <v>4</v>
      </c>
      <c r="Q164" s="4">
        <f>VLOOKUP(C164,CHECKS!A:I,8,FALSE)</f>
        <v>7</v>
      </c>
      <c r="R164">
        <v>162</v>
      </c>
    </row>
    <row r="165" spans="1:18" x14ac:dyDescent="0.2">
      <c r="A165" s="4">
        <v>1640</v>
      </c>
      <c r="B165" s="2" t="s">
        <v>582</v>
      </c>
      <c r="C165" s="4" t="s">
        <v>493</v>
      </c>
      <c r="D165" s="2" t="s">
        <v>121</v>
      </c>
      <c r="E165" s="2" t="s">
        <v>583</v>
      </c>
      <c r="F165" s="2" t="s">
        <v>121</v>
      </c>
      <c r="G165" s="4">
        <f t="shared" si="2"/>
        <v>3</v>
      </c>
      <c r="H165" s="2" t="s">
        <v>1431</v>
      </c>
      <c r="J165" s="2" t="s">
        <v>646</v>
      </c>
      <c r="K165" s="2" t="s">
        <v>1439</v>
      </c>
      <c r="L165" s="7">
        <v>48.884385145400003</v>
      </c>
      <c r="M165" s="7">
        <v>2.36939198436</v>
      </c>
      <c r="N165" s="4" t="str">
        <f>VLOOKUP(C165,CHECKS!A:I,9,FALSE)</f>
        <v>#FA9ABA</v>
      </c>
      <c r="O165" s="4">
        <f>VLOOKUP(C165,CHECKS!A:I,6,FALSE)</f>
        <v>1.49</v>
      </c>
      <c r="P165" s="4">
        <f>VLOOKUP(C165,CHECKS!A:I,7,FALSE)</f>
        <v>4</v>
      </c>
      <c r="Q165" s="4">
        <f>VLOOKUP(C165,CHECKS!A:I,8,FALSE)</f>
        <v>7</v>
      </c>
      <c r="R165">
        <v>163</v>
      </c>
    </row>
    <row r="166" spans="1:18" x14ac:dyDescent="0.2">
      <c r="A166" s="4">
        <v>1650</v>
      </c>
      <c r="B166" s="2" t="s">
        <v>584</v>
      </c>
      <c r="C166" s="4" t="s">
        <v>493</v>
      </c>
      <c r="D166" s="2" t="s">
        <v>501</v>
      </c>
      <c r="E166" s="2" t="s">
        <v>585</v>
      </c>
      <c r="F166" s="2" t="s">
        <v>501</v>
      </c>
      <c r="G166" s="4">
        <f t="shared" si="2"/>
        <v>2</v>
      </c>
      <c r="H166" s="2" t="s">
        <v>676</v>
      </c>
      <c r="J166" s="2" t="s">
        <v>647</v>
      </c>
      <c r="K166" s="2" t="s">
        <v>501</v>
      </c>
      <c r="L166" s="7">
        <v>48.8812858119</v>
      </c>
      <c r="M166" s="7">
        <v>2.3655443191700001</v>
      </c>
      <c r="N166" s="4" t="str">
        <f>VLOOKUP(C166,CHECKS!A:I,9,FALSE)</f>
        <v>#FA9ABA</v>
      </c>
      <c r="O166" s="4">
        <f>VLOOKUP(C166,CHECKS!A:I,6,FALSE)</f>
        <v>1.49</v>
      </c>
      <c r="P166" s="4">
        <f>VLOOKUP(C166,CHECKS!A:I,7,FALSE)</f>
        <v>4</v>
      </c>
      <c r="Q166" s="4">
        <f>VLOOKUP(C166,CHECKS!A:I,8,FALSE)</f>
        <v>7</v>
      </c>
      <c r="R166">
        <v>164</v>
      </c>
    </row>
    <row r="167" spans="1:18" x14ac:dyDescent="0.2">
      <c r="A167" s="4">
        <v>1660</v>
      </c>
      <c r="B167" s="2" t="s">
        <v>586</v>
      </c>
      <c r="C167" s="4" t="s">
        <v>493</v>
      </c>
      <c r="D167" s="2" t="s">
        <v>502</v>
      </c>
      <c r="E167" s="2" t="s">
        <v>587</v>
      </c>
      <c r="F167" s="2" t="s">
        <v>502</v>
      </c>
      <c r="G167" s="4">
        <f t="shared" si="2"/>
        <v>1</v>
      </c>
      <c r="J167" s="2" t="s">
        <v>648</v>
      </c>
      <c r="L167" s="7">
        <v>48.8785656258</v>
      </c>
      <c r="M167" s="7">
        <v>2.36216007192</v>
      </c>
      <c r="N167" s="4" t="str">
        <f>VLOOKUP(C167,CHECKS!A:I,9,FALSE)</f>
        <v>#FA9ABA</v>
      </c>
      <c r="O167" s="4">
        <f>VLOOKUP(C167,CHECKS!A:I,6,FALSE)</f>
        <v>1.49</v>
      </c>
      <c r="P167" s="4">
        <f>VLOOKUP(C167,CHECKS!A:I,7,FALSE)</f>
        <v>4</v>
      </c>
      <c r="Q167" s="4">
        <f>VLOOKUP(C167,CHECKS!A:I,8,FALSE)</f>
        <v>7</v>
      </c>
      <c r="R167">
        <v>165</v>
      </c>
    </row>
    <row r="168" spans="1:18" x14ac:dyDescent="0.2">
      <c r="A168" s="4">
        <v>1670</v>
      </c>
      <c r="B168" s="2" t="s">
        <v>588</v>
      </c>
      <c r="C168" s="4" t="s">
        <v>493</v>
      </c>
      <c r="D168" s="2" t="s">
        <v>311</v>
      </c>
      <c r="E168" s="2" t="s">
        <v>589</v>
      </c>
      <c r="F168" s="2" t="s">
        <v>311</v>
      </c>
      <c r="G168" s="4">
        <f t="shared" si="2"/>
        <v>3</v>
      </c>
      <c r="H168" s="2" t="s">
        <v>1398</v>
      </c>
      <c r="J168" s="2" t="s">
        <v>649</v>
      </c>
      <c r="K168" s="2" t="s">
        <v>1444</v>
      </c>
      <c r="L168" s="7">
        <v>48.8762727035</v>
      </c>
      <c r="M168" s="7">
        <v>2.3580579043399998</v>
      </c>
      <c r="N168" s="4" t="str">
        <f>VLOOKUP(C168,CHECKS!A:I,9,FALSE)</f>
        <v>#FA9ABA</v>
      </c>
      <c r="O168" s="4">
        <f>VLOOKUP(C168,CHECKS!A:I,6,FALSE)</f>
        <v>1.49</v>
      </c>
      <c r="P168" s="4">
        <f>VLOOKUP(C168,CHECKS!A:I,7,FALSE)</f>
        <v>4</v>
      </c>
      <c r="Q168" s="4">
        <f>VLOOKUP(C168,CHECKS!A:I,8,FALSE)</f>
        <v>7</v>
      </c>
      <c r="R168">
        <v>166</v>
      </c>
    </row>
    <row r="169" spans="1:18" x14ac:dyDescent="0.2">
      <c r="A169" s="4">
        <v>1680</v>
      </c>
      <c r="B169" s="2" t="s">
        <v>590</v>
      </c>
      <c r="C169" s="4" t="s">
        <v>493</v>
      </c>
      <c r="D169" s="2" t="s">
        <v>503</v>
      </c>
      <c r="E169" s="2" t="s">
        <v>591</v>
      </c>
      <c r="F169" s="2" t="s">
        <v>503</v>
      </c>
      <c r="G169" s="4">
        <f t="shared" si="2"/>
        <v>1</v>
      </c>
      <c r="J169" s="2" t="s">
        <v>650</v>
      </c>
      <c r="L169" s="7">
        <v>48.8772363191</v>
      </c>
      <c r="M169" s="7">
        <v>2.3492939024799999</v>
      </c>
      <c r="N169" s="4" t="str">
        <f>VLOOKUP(C169,CHECKS!A:I,9,FALSE)</f>
        <v>#FA9ABA</v>
      </c>
      <c r="O169" s="4">
        <f>VLOOKUP(C169,CHECKS!A:I,6,FALSE)</f>
        <v>1.49</v>
      </c>
      <c r="P169" s="4">
        <f>VLOOKUP(C169,CHECKS!A:I,7,FALSE)</f>
        <v>4</v>
      </c>
      <c r="Q169" s="4">
        <f>VLOOKUP(C169,CHECKS!A:I,8,FALSE)</f>
        <v>7</v>
      </c>
      <c r="R169">
        <v>167</v>
      </c>
    </row>
    <row r="170" spans="1:18" x14ac:dyDescent="0.2">
      <c r="A170" s="4">
        <v>1690</v>
      </c>
      <c r="B170" s="2" t="s">
        <v>592</v>
      </c>
      <c r="C170" s="4" t="s">
        <v>493</v>
      </c>
      <c r="D170" s="2" t="s">
        <v>504</v>
      </c>
      <c r="E170" s="2" t="s">
        <v>593</v>
      </c>
      <c r="F170" s="2" t="s">
        <v>504</v>
      </c>
      <c r="G170" s="4">
        <f t="shared" si="2"/>
        <v>1</v>
      </c>
      <c r="J170" s="2" t="s">
        <v>651</v>
      </c>
      <c r="L170" s="7">
        <v>48.875890681900003</v>
      </c>
      <c r="M170" s="7">
        <v>2.34412603046</v>
      </c>
      <c r="N170" s="4" t="str">
        <f>VLOOKUP(C170,CHECKS!A:I,9,FALSE)</f>
        <v>#FA9ABA</v>
      </c>
      <c r="O170" s="4">
        <f>VLOOKUP(C170,CHECKS!A:I,6,FALSE)</f>
        <v>1.49</v>
      </c>
      <c r="P170" s="4">
        <f>VLOOKUP(C170,CHECKS!A:I,7,FALSE)</f>
        <v>4</v>
      </c>
      <c r="Q170" s="4">
        <f>VLOOKUP(C170,CHECKS!A:I,8,FALSE)</f>
        <v>7</v>
      </c>
      <c r="R170">
        <v>168</v>
      </c>
    </row>
    <row r="171" spans="1:18" x14ac:dyDescent="0.2">
      <c r="A171" s="4">
        <v>1700</v>
      </c>
      <c r="B171" s="2" t="s">
        <v>594</v>
      </c>
      <c r="C171" s="4" t="s">
        <v>493</v>
      </c>
      <c r="D171" s="2" t="s">
        <v>505</v>
      </c>
      <c r="E171" s="2" t="s">
        <v>595</v>
      </c>
      <c r="F171" s="2" t="s">
        <v>505</v>
      </c>
      <c r="G171" s="4">
        <f t="shared" si="2"/>
        <v>1</v>
      </c>
      <c r="J171" s="2" t="s">
        <v>652</v>
      </c>
      <c r="L171" s="7">
        <v>48.874874343400002</v>
      </c>
      <c r="M171" s="7">
        <v>2.34019988439</v>
      </c>
      <c r="N171" s="4" t="str">
        <f>VLOOKUP(C171,CHECKS!A:I,9,FALSE)</f>
        <v>#FA9ABA</v>
      </c>
      <c r="O171" s="4">
        <f>VLOOKUP(C171,CHECKS!A:I,6,FALSE)</f>
        <v>1.49</v>
      </c>
      <c r="P171" s="4">
        <f>VLOOKUP(C171,CHECKS!A:I,7,FALSE)</f>
        <v>4</v>
      </c>
      <c r="Q171" s="4">
        <f>VLOOKUP(C171,CHECKS!A:I,8,FALSE)</f>
        <v>7</v>
      </c>
      <c r="R171">
        <v>169</v>
      </c>
    </row>
    <row r="172" spans="1:18" x14ac:dyDescent="0.2">
      <c r="A172" s="4">
        <v>1710</v>
      </c>
      <c r="B172" s="2" t="s">
        <v>596</v>
      </c>
      <c r="C172" s="4" t="s">
        <v>493</v>
      </c>
      <c r="D172" s="2" t="s">
        <v>506</v>
      </c>
      <c r="E172" s="2" t="s">
        <v>597</v>
      </c>
      <c r="F172" s="2" t="s">
        <v>506</v>
      </c>
      <c r="G172" s="4">
        <f t="shared" si="2"/>
        <v>2</v>
      </c>
      <c r="H172" s="2" t="s">
        <v>741</v>
      </c>
      <c r="J172" s="2" t="s">
        <v>653</v>
      </c>
      <c r="K172" s="2" t="s">
        <v>506</v>
      </c>
      <c r="L172" s="7">
        <v>48.873109274299999</v>
      </c>
      <c r="M172" s="7">
        <v>2.33345121858</v>
      </c>
      <c r="N172" s="4" t="str">
        <f>VLOOKUP(C172,CHECKS!A:I,9,FALSE)</f>
        <v>#FA9ABA</v>
      </c>
      <c r="O172" s="4">
        <f>VLOOKUP(C172,CHECKS!A:I,6,FALSE)</f>
        <v>1.49</v>
      </c>
      <c r="P172" s="4">
        <f>VLOOKUP(C172,CHECKS!A:I,7,FALSE)</f>
        <v>4</v>
      </c>
      <c r="Q172" s="4">
        <f>VLOOKUP(C172,CHECKS!A:I,8,FALSE)</f>
        <v>7</v>
      </c>
      <c r="R172">
        <v>170</v>
      </c>
    </row>
    <row r="173" spans="1:18" x14ac:dyDescent="0.2">
      <c r="A173" s="4">
        <v>1720</v>
      </c>
      <c r="B173" s="2" t="s">
        <v>598</v>
      </c>
      <c r="C173" s="4" t="s">
        <v>493</v>
      </c>
      <c r="D173" s="2" t="s">
        <v>237</v>
      </c>
      <c r="E173" s="2" t="s">
        <v>599</v>
      </c>
      <c r="F173" s="2" t="s">
        <v>237</v>
      </c>
      <c r="G173" s="4">
        <f t="shared" si="2"/>
        <v>4</v>
      </c>
      <c r="H173" s="2" t="s">
        <v>1415</v>
      </c>
      <c r="J173" s="2" t="s">
        <v>654</v>
      </c>
      <c r="K173" s="2" t="s">
        <v>1442</v>
      </c>
      <c r="L173" s="7">
        <v>48.870486703300003</v>
      </c>
      <c r="M173" s="7">
        <v>2.3324074064300002</v>
      </c>
      <c r="N173" s="4" t="str">
        <f>VLOOKUP(C173,CHECKS!A:I,9,FALSE)</f>
        <v>#FA9ABA</v>
      </c>
      <c r="O173" s="4">
        <f>VLOOKUP(C173,CHECKS!A:I,6,FALSE)</f>
        <v>1.49</v>
      </c>
      <c r="P173" s="4">
        <f>VLOOKUP(C173,CHECKS!A:I,7,FALSE)</f>
        <v>4</v>
      </c>
      <c r="Q173" s="4">
        <f>VLOOKUP(C173,CHECKS!A:I,8,FALSE)</f>
        <v>7</v>
      </c>
      <c r="R173">
        <v>171</v>
      </c>
    </row>
    <row r="174" spans="1:18" x14ac:dyDescent="0.2">
      <c r="A174" s="4">
        <v>1730</v>
      </c>
      <c r="B174" s="2" t="s">
        <v>600</v>
      </c>
      <c r="C174" s="4" t="s">
        <v>493</v>
      </c>
      <c r="D174" s="2" t="s">
        <v>507</v>
      </c>
      <c r="E174" s="2" t="s">
        <v>601</v>
      </c>
      <c r="F174" s="2" t="s">
        <v>507</v>
      </c>
      <c r="G174" s="4">
        <f t="shared" si="2"/>
        <v>2</v>
      </c>
      <c r="H174" s="2" t="s">
        <v>1043</v>
      </c>
      <c r="J174" s="2" t="s">
        <v>1376</v>
      </c>
      <c r="K174" s="2" t="s">
        <v>507</v>
      </c>
      <c r="L174" s="7">
        <v>48.8659809205</v>
      </c>
      <c r="M174" s="7">
        <v>2.33433072438</v>
      </c>
      <c r="N174" s="4" t="str">
        <f>VLOOKUP(C174,CHECKS!A:I,9,FALSE)</f>
        <v>#FA9ABA</v>
      </c>
      <c r="O174" s="4">
        <f>VLOOKUP(C174,CHECKS!A:I,6,FALSE)</f>
        <v>1.49</v>
      </c>
      <c r="P174" s="4">
        <f>VLOOKUP(C174,CHECKS!A:I,7,FALSE)</f>
        <v>4</v>
      </c>
      <c r="Q174" s="4">
        <f>VLOOKUP(C174,CHECKS!A:I,8,FALSE)</f>
        <v>7</v>
      </c>
      <c r="R174">
        <v>172</v>
      </c>
    </row>
    <row r="175" spans="1:18" x14ac:dyDescent="0.2">
      <c r="A175" s="4">
        <v>1740</v>
      </c>
      <c r="B175" s="2" t="s">
        <v>602</v>
      </c>
      <c r="C175" s="4" t="s">
        <v>493</v>
      </c>
      <c r="D175" s="2" t="s">
        <v>97</v>
      </c>
      <c r="E175" s="2" t="s">
        <v>603</v>
      </c>
      <c r="F175" s="2" t="s">
        <v>97</v>
      </c>
      <c r="G175" s="4">
        <f t="shared" si="2"/>
        <v>2</v>
      </c>
      <c r="H175" s="2" t="s">
        <v>42</v>
      </c>
      <c r="J175" s="2" t="s">
        <v>655</v>
      </c>
      <c r="K175" s="2" t="s">
        <v>97</v>
      </c>
      <c r="L175" s="7">
        <v>48.862829672799997</v>
      </c>
      <c r="M175" s="7">
        <v>2.3368783976</v>
      </c>
      <c r="N175" s="4" t="str">
        <f>VLOOKUP(C175,CHECKS!A:I,9,FALSE)</f>
        <v>#FA9ABA</v>
      </c>
      <c r="O175" s="4">
        <f>VLOOKUP(C175,CHECKS!A:I,6,FALSE)</f>
        <v>1.49</v>
      </c>
      <c r="P175" s="4">
        <f>VLOOKUP(C175,CHECKS!A:I,7,FALSE)</f>
        <v>4</v>
      </c>
      <c r="Q175" s="4">
        <f>VLOOKUP(C175,CHECKS!A:I,8,FALSE)</f>
        <v>7</v>
      </c>
      <c r="R175">
        <v>173</v>
      </c>
    </row>
    <row r="176" spans="1:18" x14ac:dyDescent="0.2">
      <c r="A176" s="4">
        <v>1750</v>
      </c>
      <c r="B176" s="2" t="s">
        <v>604</v>
      </c>
      <c r="C176" s="4" t="s">
        <v>493</v>
      </c>
      <c r="D176" s="2" t="s">
        <v>508</v>
      </c>
      <c r="E176" s="2" t="s">
        <v>605</v>
      </c>
      <c r="F176" s="2" t="s">
        <v>508</v>
      </c>
      <c r="G176" s="4">
        <f t="shared" si="2"/>
        <v>1</v>
      </c>
      <c r="J176" s="2" t="s">
        <v>1375</v>
      </c>
      <c r="L176" s="7">
        <v>48.858553826399998</v>
      </c>
      <c r="M176" s="7">
        <v>2.3422327593699999</v>
      </c>
      <c r="N176" s="4" t="str">
        <f>VLOOKUP(C176,CHECKS!A:I,9,FALSE)</f>
        <v>#FA9ABA</v>
      </c>
      <c r="O176" s="4">
        <f>VLOOKUP(C176,CHECKS!A:I,6,FALSE)</f>
        <v>1.49</v>
      </c>
      <c r="P176" s="4">
        <f>VLOOKUP(C176,CHECKS!A:I,7,FALSE)</f>
        <v>4</v>
      </c>
      <c r="Q176" s="4">
        <f>VLOOKUP(C176,CHECKS!A:I,8,FALSE)</f>
        <v>7</v>
      </c>
      <c r="R176">
        <v>174</v>
      </c>
    </row>
    <row r="177" spans="1:18" x14ac:dyDescent="0.2">
      <c r="A177" s="4">
        <v>1760</v>
      </c>
      <c r="B177" s="2" t="s">
        <v>606</v>
      </c>
      <c r="C177" s="4" t="s">
        <v>493</v>
      </c>
      <c r="D177" s="2" t="s">
        <v>20</v>
      </c>
      <c r="E177" s="2" t="s">
        <v>607</v>
      </c>
      <c r="F177" s="2" t="s">
        <v>20</v>
      </c>
      <c r="G177" s="4">
        <f t="shared" si="2"/>
        <v>7</v>
      </c>
      <c r="H177" s="2" t="s">
        <v>1390</v>
      </c>
      <c r="I177" s="2" t="s">
        <v>2569</v>
      </c>
      <c r="J177" s="2" t="s">
        <v>656</v>
      </c>
      <c r="K177" s="2" t="s">
        <v>1436</v>
      </c>
      <c r="L177" s="7">
        <v>48.8570599663</v>
      </c>
      <c r="M177" s="7">
        <v>2.3477118799299999</v>
      </c>
      <c r="N177" s="4" t="str">
        <f>VLOOKUP(C177,CHECKS!A:I,9,FALSE)</f>
        <v>#FA9ABA</v>
      </c>
      <c r="O177" s="4">
        <f>VLOOKUP(C177,CHECKS!A:I,6,FALSE)</f>
        <v>1.49</v>
      </c>
      <c r="P177" s="4">
        <f>VLOOKUP(C177,CHECKS!A:I,7,FALSE)</f>
        <v>4</v>
      </c>
      <c r="Q177" s="4">
        <f>VLOOKUP(C177,CHECKS!A:I,8,FALSE)</f>
        <v>7</v>
      </c>
      <c r="R177">
        <v>175</v>
      </c>
    </row>
    <row r="178" spans="1:18" x14ac:dyDescent="0.2">
      <c r="A178" s="4">
        <v>1770</v>
      </c>
      <c r="B178" s="2" t="s">
        <v>608</v>
      </c>
      <c r="C178" s="4" t="s">
        <v>493</v>
      </c>
      <c r="D178" s="2" t="s">
        <v>509</v>
      </c>
      <c r="E178" s="2" t="s">
        <v>609</v>
      </c>
      <c r="F178" s="2" t="s">
        <v>509</v>
      </c>
      <c r="G178" s="4">
        <f t="shared" si="2"/>
        <v>1</v>
      </c>
      <c r="J178" s="2" t="s">
        <v>657</v>
      </c>
      <c r="L178" s="7">
        <v>48.853575472499998</v>
      </c>
      <c r="M178" s="7">
        <v>2.35716257162</v>
      </c>
      <c r="N178" s="4" t="str">
        <f>VLOOKUP(C178,CHECKS!A:I,9,FALSE)</f>
        <v>#FA9ABA</v>
      </c>
      <c r="O178" s="4">
        <f>VLOOKUP(C178,CHECKS!A:I,6,FALSE)</f>
        <v>1.49</v>
      </c>
      <c r="P178" s="4">
        <f>VLOOKUP(C178,CHECKS!A:I,7,FALSE)</f>
        <v>4</v>
      </c>
      <c r="Q178" s="4">
        <f>VLOOKUP(C178,CHECKS!A:I,8,FALSE)</f>
        <v>7</v>
      </c>
      <c r="R178">
        <v>176</v>
      </c>
    </row>
    <row r="179" spans="1:18" x14ac:dyDescent="0.2">
      <c r="A179" s="4">
        <v>1780</v>
      </c>
      <c r="B179" s="2" t="s">
        <v>610</v>
      </c>
      <c r="C179" s="4" t="s">
        <v>493</v>
      </c>
      <c r="D179" s="2" t="s">
        <v>510</v>
      </c>
      <c r="E179" s="2" t="s">
        <v>611</v>
      </c>
      <c r="F179" s="2" t="s">
        <v>510</v>
      </c>
      <c r="G179" s="4">
        <f t="shared" si="2"/>
        <v>1</v>
      </c>
      <c r="J179" s="2" t="s">
        <v>658</v>
      </c>
      <c r="L179" s="7">
        <v>48.851237680399997</v>
      </c>
      <c r="M179" s="7">
        <v>2.3619851409999999</v>
      </c>
      <c r="N179" s="4" t="str">
        <f>VLOOKUP(C179,CHECKS!A:I,9,FALSE)</f>
        <v>#FA9ABA</v>
      </c>
      <c r="O179" s="4">
        <f>VLOOKUP(C179,CHECKS!A:I,6,FALSE)</f>
        <v>1.49</v>
      </c>
      <c r="P179" s="4">
        <f>VLOOKUP(C179,CHECKS!A:I,7,FALSE)</f>
        <v>4</v>
      </c>
      <c r="Q179" s="4">
        <f>VLOOKUP(C179,CHECKS!A:I,8,FALSE)</f>
        <v>7</v>
      </c>
      <c r="R179">
        <v>177</v>
      </c>
    </row>
    <row r="180" spans="1:18" x14ac:dyDescent="0.2">
      <c r="A180" s="4">
        <v>1790</v>
      </c>
      <c r="B180" s="2" t="s">
        <v>612</v>
      </c>
      <c r="C180" s="4" t="s">
        <v>493</v>
      </c>
      <c r="D180" s="2" t="s">
        <v>511</v>
      </c>
      <c r="E180" s="2" t="s">
        <v>613</v>
      </c>
      <c r="F180" s="2" t="s">
        <v>511</v>
      </c>
      <c r="G180" s="4">
        <f t="shared" si="2"/>
        <v>2</v>
      </c>
      <c r="H180" s="2" t="s">
        <v>967</v>
      </c>
      <c r="J180" s="2" t="s">
        <v>659</v>
      </c>
      <c r="K180" s="2" t="s">
        <v>511</v>
      </c>
      <c r="L180" s="7">
        <v>48.845950666599997</v>
      </c>
      <c r="M180" s="7">
        <v>2.3550502630599999</v>
      </c>
      <c r="N180" s="4" t="str">
        <f>VLOOKUP(C180,CHECKS!A:I,9,FALSE)</f>
        <v>#FA9ABA</v>
      </c>
      <c r="O180" s="4">
        <f>VLOOKUP(C180,CHECKS!A:I,6,FALSE)</f>
        <v>1.49</v>
      </c>
      <c r="P180" s="4">
        <f>VLOOKUP(C180,CHECKS!A:I,7,FALSE)</f>
        <v>4</v>
      </c>
      <c r="Q180" s="4">
        <f>VLOOKUP(C180,CHECKS!A:I,8,FALSE)</f>
        <v>7</v>
      </c>
      <c r="R180">
        <v>178</v>
      </c>
    </row>
    <row r="181" spans="1:18" x14ac:dyDescent="0.2">
      <c r="A181" s="4">
        <v>1800</v>
      </c>
      <c r="B181" s="2" t="s">
        <v>614</v>
      </c>
      <c r="C181" s="4" t="s">
        <v>493</v>
      </c>
      <c r="D181" s="2" t="s">
        <v>512</v>
      </c>
      <c r="E181" s="2" t="s">
        <v>615</v>
      </c>
      <c r="F181" s="2" t="s">
        <v>512</v>
      </c>
      <c r="G181" s="4">
        <f t="shared" si="2"/>
        <v>1</v>
      </c>
      <c r="J181" s="2" t="s">
        <v>660</v>
      </c>
      <c r="L181" s="7">
        <v>48.842866830699997</v>
      </c>
      <c r="M181" s="7">
        <v>2.3522247281799999</v>
      </c>
      <c r="N181" s="4" t="str">
        <f>VLOOKUP(C181,CHECKS!A:I,9,FALSE)</f>
        <v>#FA9ABA</v>
      </c>
      <c r="O181" s="4">
        <f>VLOOKUP(C181,CHECKS!A:I,6,FALSE)</f>
        <v>1.49</v>
      </c>
      <c r="P181" s="4">
        <f>VLOOKUP(C181,CHECKS!A:I,7,FALSE)</f>
        <v>4</v>
      </c>
      <c r="Q181" s="4">
        <f>VLOOKUP(C181,CHECKS!A:I,8,FALSE)</f>
        <v>7</v>
      </c>
      <c r="R181">
        <v>179</v>
      </c>
    </row>
    <row r="182" spans="1:18" x14ac:dyDescent="0.2">
      <c r="A182" s="4">
        <v>1810</v>
      </c>
      <c r="B182" s="2" t="s">
        <v>616</v>
      </c>
      <c r="C182" s="4" t="s">
        <v>493</v>
      </c>
      <c r="D182" s="2" t="s">
        <v>513</v>
      </c>
      <c r="E182" s="2" t="s">
        <v>617</v>
      </c>
      <c r="F182" s="2" t="s">
        <v>513</v>
      </c>
      <c r="G182" s="4">
        <f t="shared" si="2"/>
        <v>1</v>
      </c>
      <c r="J182" s="2" t="s">
        <v>661</v>
      </c>
      <c r="L182" s="7">
        <v>48.840486652599999</v>
      </c>
      <c r="M182" s="7">
        <v>2.3517394871700001</v>
      </c>
      <c r="N182" s="4" t="str">
        <f>VLOOKUP(C182,CHECKS!A:I,9,FALSE)</f>
        <v>#FA9ABA</v>
      </c>
      <c r="O182" s="4">
        <f>VLOOKUP(C182,CHECKS!A:I,6,FALSE)</f>
        <v>1.49</v>
      </c>
      <c r="P182" s="4">
        <f>VLOOKUP(C182,CHECKS!A:I,7,FALSE)</f>
        <v>4</v>
      </c>
      <c r="Q182" s="4">
        <f>VLOOKUP(C182,CHECKS!A:I,8,FALSE)</f>
        <v>7</v>
      </c>
      <c r="R182">
        <v>180</v>
      </c>
    </row>
    <row r="183" spans="1:18" x14ac:dyDescent="0.2">
      <c r="A183" s="4">
        <v>1820</v>
      </c>
      <c r="B183" s="2" t="s">
        <v>618</v>
      </c>
      <c r="C183" s="4" t="s">
        <v>493</v>
      </c>
      <c r="D183" s="2" t="s">
        <v>514</v>
      </c>
      <c r="E183" s="2" t="s">
        <v>619</v>
      </c>
      <c r="F183" s="2" t="s">
        <v>514</v>
      </c>
      <c r="G183" s="4">
        <f t="shared" si="2"/>
        <v>1</v>
      </c>
      <c r="J183" s="2" t="s">
        <v>662</v>
      </c>
      <c r="L183" s="7">
        <v>48.835863484199997</v>
      </c>
      <c r="M183" s="7">
        <v>2.3525889256400001</v>
      </c>
      <c r="N183" s="4" t="str">
        <f>VLOOKUP(C183,CHECKS!A:I,9,FALSE)</f>
        <v>#FA9ABA</v>
      </c>
      <c r="O183" s="4">
        <f>VLOOKUP(C183,CHECKS!A:I,6,FALSE)</f>
        <v>1.49</v>
      </c>
      <c r="P183" s="4">
        <f>VLOOKUP(C183,CHECKS!A:I,7,FALSE)</f>
        <v>4</v>
      </c>
      <c r="Q183" s="4">
        <f>VLOOKUP(C183,CHECKS!A:I,8,FALSE)</f>
        <v>7</v>
      </c>
      <c r="R183">
        <v>181</v>
      </c>
    </row>
    <row r="184" spans="1:18" x14ac:dyDescent="0.2">
      <c r="A184" s="4">
        <v>1830</v>
      </c>
      <c r="B184" s="2" t="s">
        <v>620</v>
      </c>
      <c r="C184" s="4" t="s">
        <v>493</v>
      </c>
      <c r="D184" s="2" t="s">
        <v>418</v>
      </c>
      <c r="E184" s="2" t="s">
        <v>621</v>
      </c>
      <c r="F184" s="2" t="s">
        <v>418</v>
      </c>
      <c r="G184" s="4">
        <f t="shared" si="2"/>
        <v>3</v>
      </c>
      <c r="H184" s="2" t="s">
        <v>1419</v>
      </c>
      <c r="J184" s="2" t="s">
        <v>663</v>
      </c>
      <c r="K184" s="2" t="s">
        <v>1447</v>
      </c>
      <c r="L184" s="7">
        <v>48.831433631000003</v>
      </c>
      <c r="M184" s="7">
        <v>2.3556436430200001</v>
      </c>
      <c r="N184" s="4" t="str">
        <f>VLOOKUP(C184,CHECKS!A:I,9,FALSE)</f>
        <v>#FA9ABA</v>
      </c>
      <c r="O184" s="4">
        <f>VLOOKUP(C184,CHECKS!A:I,6,FALSE)</f>
        <v>1.49</v>
      </c>
      <c r="P184" s="4">
        <f>VLOOKUP(C184,CHECKS!A:I,7,FALSE)</f>
        <v>4</v>
      </c>
      <c r="Q184" s="4">
        <f>VLOOKUP(C184,CHECKS!A:I,8,FALSE)</f>
        <v>7</v>
      </c>
      <c r="R184">
        <v>182</v>
      </c>
    </row>
    <row r="185" spans="1:18" x14ac:dyDescent="0.2">
      <c r="A185" s="4">
        <v>1840</v>
      </c>
      <c r="B185" s="2" t="s">
        <v>622</v>
      </c>
      <c r="C185" s="4" t="s">
        <v>493</v>
      </c>
      <c r="D185" s="2" t="s">
        <v>515</v>
      </c>
      <c r="E185" s="2" t="s">
        <v>623</v>
      </c>
      <c r="F185" s="2" t="s">
        <v>515</v>
      </c>
      <c r="G185" s="4">
        <f t="shared" si="2"/>
        <v>1</v>
      </c>
      <c r="J185" s="2" t="s">
        <v>664</v>
      </c>
      <c r="L185" s="7">
        <v>48.826426010900001</v>
      </c>
      <c r="M185" s="7">
        <v>2.3572456507599999</v>
      </c>
      <c r="N185" s="4" t="str">
        <f>VLOOKUP(C185,CHECKS!A:I,9,FALSE)</f>
        <v>#FA9ABA</v>
      </c>
      <c r="O185" s="4">
        <f>VLOOKUP(C185,CHECKS!A:I,6,FALSE)</f>
        <v>1.49</v>
      </c>
      <c r="P185" s="4">
        <f>VLOOKUP(C185,CHECKS!A:I,7,FALSE)</f>
        <v>4</v>
      </c>
      <c r="Q185" s="4">
        <f>VLOOKUP(C185,CHECKS!A:I,8,FALSE)</f>
        <v>7</v>
      </c>
      <c r="R185">
        <v>183</v>
      </c>
    </row>
    <row r="186" spans="1:18" x14ac:dyDescent="0.2">
      <c r="A186" s="4">
        <v>1850</v>
      </c>
      <c r="B186" s="2" t="s">
        <v>624</v>
      </c>
      <c r="C186" s="4" t="s">
        <v>493</v>
      </c>
      <c r="D186" s="2" t="s">
        <v>516</v>
      </c>
      <c r="E186" s="2" t="s">
        <v>625</v>
      </c>
      <c r="F186" s="2" t="s">
        <v>516</v>
      </c>
      <c r="G186" s="4">
        <f t="shared" si="2"/>
        <v>1</v>
      </c>
      <c r="J186" s="2" t="s">
        <v>665</v>
      </c>
      <c r="L186" s="7">
        <v>48.822437834600002</v>
      </c>
      <c r="M186" s="7">
        <v>2.3584738838499999</v>
      </c>
      <c r="N186" s="4" t="str">
        <f>VLOOKUP(C186,CHECKS!A:I,9,FALSE)</f>
        <v>#FA9ABA</v>
      </c>
      <c r="O186" s="4">
        <f>VLOOKUP(C186,CHECKS!A:I,6,FALSE)</f>
        <v>1.49</v>
      </c>
      <c r="P186" s="4">
        <f>VLOOKUP(C186,CHECKS!A:I,7,FALSE)</f>
        <v>4</v>
      </c>
      <c r="Q186" s="4">
        <f>VLOOKUP(C186,CHECKS!A:I,8,FALSE)</f>
        <v>7</v>
      </c>
      <c r="R186">
        <v>184</v>
      </c>
    </row>
    <row r="187" spans="1:18" x14ac:dyDescent="0.2">
      <c r="A187" s="4">
        <v>1860</v>
      </c>
      <c r="B187" s="2" t="s">
        <v>626</v>
      </c>
      <c r="C187" s="4" t="s">
        <v>493</v>
      </c>
      <c r="D187" s="2" t="s">
        <v>517</v>
      </c>
      <c r="E187" s="2" t="s">
        <v>627</v>
      </c>
      <c r="F187" s="2" t="s">
        <v>517</v>
      </c>
      <c r="G187" s="4">
        <f t="shared" si="2"/>
        <v>2</v>
      </c>
      <c r="I187" s="2" t="s">
        <v>1740</v>
      </c>
      <c r="J187" s="2" t="s">
        <v>666</v>
      </c>
      <c r="L187" s="7">
        <v>48.819223349600001</v>
      </c>
      <c r="M187" s="7">
        <v>2.3597052167500001</v>
      </c>
      <c r="N187" s="4" t="str">
        <f>VLOOKUP(C187,CHECKS!A:I,9,FALSE)</f>
        <v>#FA9ABA</v>
      </c>
      <c r="O187" s="4">
        <f>VLOOKUP(C187,CHECKS!A:I,6,FALSE)</f>
        <v>1.49</v>
      </c>
      <c r="P187" s="4">
        <f>VLOOKUP(C187,CHECKS!A:I,7,FALSE)</f>
        <v>4</v>
      </c>
      <c r="Q187" s="4">
        <f>VLOOKUP(C187,CHECKS!A:I,8,FALSE)</f>
        <v>7</v>
      </c>
      <c r="R187">
        <v>185</v>
      </c>
    </row>
    <row r="188" spans="1:18" x14ac:dyDescent="0.2">
      <c r="A188" s="4">
        <v>1870</v>
      </c>
      <c r="B188" s="2" t="s">
        <v>628</v>
      </c>
      <c r="C188" s="4" t="s">
        <v>493</v>
      </c>
      <c r="D188" s="2" t="s">
        <v>518</v>
      </c>
      <c r="E188" s="2" t="s">
        <v>629</v>
      </c>
      <c r="F188" s="2" t="s">
        <v>518</v>
      </c>
      <c r="G188" s="4">
        <f t="shared" si="2"/>
        <v>2</v>
      </c>
      <c r="I188" s="2" t="s">
        <v>1742</v>
      </c>
      <c r="J188" s="2" t="s">
        <v>667</v>
      </c>
      <c r="L188" s="7">
        <v>48.819876221000001</v>
      </c>
      <c r="M188" s="7">
        <v>2.3645319517500001</v>
      </c>
      <c r="N188" s="4" t="str">
        <f>VLOOKUP(C188,CHECKS!A:I,9,FALSE)</f>
        <v>#FA9ABA</v>
      </c>
      <c r="O188" s="4">
        <f>VLOOKUP(C188,CHECKS!A:I,6,FALSE)</f>
        <v>1.49</v>
      </c>
      <c r="P188" s="4">
        <f>VLOOKUP(C188,CHECKS!A:I,7,FALSE)</f>
        <v>4</v>
      </c>
      <c r="Q188" s="4">
        <f>VLOOKUP(C188,CHECKS!A:I,8,FALSE)</f>
        <v>7</v>
      </c>
      <c r="R188">
        <v>186</v>
      </c>
    </row>
    <row r="189" spans="1:18" x14ac:dyDescent="0.2">
      <c r="A189" s="4">
        <v>1880</v>
      </c>
      <c r="B189" s="2" t="s">
        <v>630</v>
      </c>
      <c r="C189" s="4" t="s">
        <v>493</v>
      </c>
      <c r="D189" s="2" t="s">
        <v>519</v>
      </c>
      <c r="E189" s="2" t="s">
        <v>631</v>
      </c>
      <c r="F189" s="2" t="s">
        <v>519</v>
      </c>
      <c r="G189" s="4">
        <f t="shared" si="2"/>
        <v>2</v>
      </c>
      <c r="I189" s="2" t="s">
        <v>1744</v>
      </c>
      <c r="J189" s="2" t="s">
        <v>668</v>
      </c>
      <c r="L189" s="7">
        <v>48.821355783800001</v>
      </c>
      <c r="M189" s="7">
        <v>2.3692905873500001</v>
      </c>
      <c r="N189" s="4" t="str">
        <f>VLOOKUP(C189,CHECKS!A:I,9,FALSE)</f>
        <v>#FA9ABA</v>
      </c>
      <c r="O189" s="4">
        <f>VLOOKUP(C189,CHECKS!A:I,6,FALSE)</f>
        <v>1.49</v>
      </c>
      <c r="P189" s="4">
        <f>VLOOKUP(C189,CHECKS!A:I,7,FALSE)</f>
        <v>4</v>
      </c>
      <c r="Q189" s="4">
        <f>VLOOKUP(C189,CHECKS!A:I,8,FALSE)</f>
        <v>7</v>
      </c>
      <c r="R189">
        <v>187</v>
      </c>
    </row>
    <row r="190" spans="1:18" x14ac:dyDescent="0.2">
      <c r="A190" s="4">
        <v>1890</v>
      </c>
      <c r="B190" s="2" t="s">
        <v>632</v>
      </c>
      <c r="C190" s="4" t="s">
        <v>493</v>
      </c>
      <c r="D190" s="2" t="s">
        <v>520</v>
      </c>
      <c r="E190" s="2" t="s">
        <v>633</v>
      </c>
      <c r="F190" s="2" t="s">
        <v>520</v>
      </c>
      <c r="G190" s="4">
        <f t="shared" si="2"/>
        <v>1</v>
      </c>
      <c r="J190" s="2" t="s">
        <v>669</v>
      </c>
      <c r="L190" s="7">
        <v>48.815930762999997</v>
      </c>
      <c r="M190" s="7">
        <v>2.3772672001499999</v>
      </c>
      <c r="N190" s="4" t="str">
        <f>VLOOKUP(C190,CHECKS!A:I,9,FALSE)</f>
        <v>#FA9ABA</v>
      </c>
      <c r="O190" s="4">
        <f>VLOOKUP(C190,CHECKS!A:I,6,FALSE)</f>
        <v>1.49</v>
      </c>
      <c r="P190" s="4">
        <f>VLOOKUP(C190,CHECKS!A:I,7,FALSE)</f>
        <v>4</v>
      </c>
      <c r="Q190" s="4">
        <f>VLOOKUP(C190,CHECKS!A:I,8,FALSE)</f>
        <v>7</v>
      </c>
      <c r="R190">
        <v>188</v>
      </c>
    </row>
    <row r="191" spans="1:18" x14ac:dyDescent="0.2">
      <c r="A191" s="4">
        <v>1900</v>
      </c>
      <c r="B191" s="2" t="s">
        <v>634</v>
      </c>
      <c r="C191" s="4" t="s">
        <v>493</v>
      </c>
      <c r="D191" s="2" t="s">
        <v>521</v>
      </c>
      <c r="E191" s="2" t="s">
        <v>632</v>
      </c>
      <c r="F191" s="2" t="s">
        <v>521</v>
      </c>
      <c r="G191" s="4">
        <f t="shared" si="2"/>
        <v>1</v>
      </c>
      <c r="J191" s="2" t="s">
        <v>520</v>
      </c>
      <c r="L191" s="7">
        <v>48.811099197700003</v>
      </c>
      <c r="M191" s="7">
        <v>2.3835514796499999</v>
      </c>
      <c r="N191" s="4" t="str">
        <f>VLOOKUP(C191,CHECKS!A:I,9,FALSE)</f>
        <v>#FA9ABA</v>
      </c>
      <c r="O191" s="4">
        <f>VLOOKUP(C191,CHECKS!A:I,6,FALSE)</f>
        <v>1.49</v>
      </c>
      <c r="P191" s="4">
        <f>VLOOKUP(C191,CHECKS!A:I,7,FALSE)</f>
        <v>4</v>
      </c>
      <c r="Q191" s="4">
        <f>VLOOKUP(C191,CHECKS!A:I,8,FALSE)</f>
        <v>7</v>
      </c>
      <c r="R191">
        <v>189</v>
      </c>
    </row>
    <row r="192" spans="1:18" x14ac:dyDescent="0.2">
      <c r="A192" s="4">
        <v>1910</v>
      </c>
      <c r="B192" s="2" t="s">
        <v>635</v>
      </c>
      <c r="C192" s="4" t="s">
        <v>493</v>
      </c>
      <c r="D192" s="2" t="s">
        <v>522</v>
      </c>
      <c r="E192" s="2" t="s">
        <v>636</v>
      </c>
      <c r="F192" s="2" t="s">
        <v>522</v>
      </c>
      <c r="G192" s="4">
        <f t="shared" si="2"/>
        <v>1</v>
      </c>
      <c r="J192" s="2" t="s">
        <v>670</v>
      </c>
      <c r="L192" s="7">
        <v>48.810129957299999</v>
      </c>
      <c r="M192" s="7">
        <v>2.3622633871300001</v>
      </c>
      <c r="N192" s="4" t="str">
        <f>VLOOKUP(C192,CHECKS!A:I,9,FALSE)</f>
        <v>#FA9ABA</v>
      </c>
      <c r="O192" s="4">
        <f>VLOOKUP(C192,CHECKS!A:I,6,FALSE)</f>
        <v>1.49</v>
      </c>
      <c r="P192" s="4">
        <f>VLOOKUP(C192,CHECKS!A:I,7,FALSE)</f>
        <v>4</v>
      </c>
      <c r="Q192" s="4">
        <f>VLOOKUP(C192,CHECKS!A:I,8,FALSE)</f>
        <v>7</v>
      </c>
      <c r="R192">
        <v>190</v>
      </c>
    </row>
    <row r="193" spans="1:18" x14ac:dyDescent="0.2">
      <c r="A193" s="4">
        <v>1920</v>
      </c>
      <c r="B193" s="2" t="s">
        <v>637</v>
      </c>
      <c r="C193" s="4" t="s">
        <v>493</v>
      </c>
      <c r="D193" s="2" t="s">
        <v>523</v>
      </c>
      <c r="E193" s="2" t="s">
        <v>638</v>
      </c>
      <c r="F193" s="2" t="s">
        <v>523</v>
      </c>
      <c r="G193" s="4">
        <f t="shared" si="2"/>
        <v>1</v>
      </c>
      <c r="J193" s="2" t="s">
        <v>671</v>
      </c>
      <c r="L193" s="7">
        <v>48.804688120900003</v>
      </c>
      <c r="M193" s="7">
        <v>2.3639531965999998</v>
      </c>
      <c r="N193" s="4" t="str">
        <f>VLOOKUP(C193,CHECKS!A:I,9,FALSE)</f>
        <v>#FA9ABA</v>
      </c>
      <c r="O193" s="4">
        <f>VLOOKUP(C193,CHECKS!A:I,6,FALSE)</f>
        <v>1.49</v>
      </c>
      <c r="P193" s="4">
        <f>VLOOKUP(C193,CHECKS!A:I,7,FALSE)</f>
        <v>4</v>
      </c>
      <c r="Q193" s="4">
        <f>VLOOKUP(C193,CHECKS!A:I,8,FALSE)</f>
        <v>7</v>
      </c>
      <c r="R193">
        <v>191</v>
      </c>
    </row>
    <row r="194" spans="1:18" x14ac:dyDescent="0.2">
      <c r="A194" s="4">
        <v>1930</v>
      </c>
      <c r="B194" s="2" t="s">
        <v>639</v>
      </c>
      <c r="C194" s="4" t="s">
        <v>493</v>
      </c>
      <c r="D194" s="2" t="s">
        <v>524</v>
      </c>
      <c r="E194" s="2" t="s">
        <v>673</v>
      </c>
      <c r="F194" s="2" t="s">
        <v>524</v>
      </c>
      <c r="G194" s="4">
        <f t="shared" ref="G194:G257" si="3">COUNTIF(F:F,F194)</f>
        <v>1</v>
      </c>
      <c r="J194" s="2" t="s">
        <v>674</v>
      </c>
      <c r="L194" s="7">
        <v>48.796483082800002</v>
      </c>
      <c r="M194" s="7">
        <v>2.3682695414300001</v>
      </c>
      <c r="N194" s="4" t="str">
        <f>VLOOKUP(C194,CHECKS!A:I,9,FALSE)</f>
        <v>#FA9ABA</v>
      </c>
      <c r="O194" s="4">
        <f>VLOOKUP(C194,CHECKS!A:I,6,FALSE)</f>
        <v>1.49</v>
      </c>
      <c r="P194" s="4">
        <f>VLOOKUP(C194,CHECKS!A:I,7,FALSE)</f>
        <v>4</v>
      </c>
      <c r="Q194" s="4">
        <f>VLOOKUP(C194,CHECKS!A:I,8,FALSE)</f>
        <v>7</v>
      </c>
      <c r="R194">
        <v>192</v>
      </c>
    </row>
    <row r="195" spans="1:18" x14ac:dyDescent="0.2">
      <c r="A195" s="4">
        <v>1940</v>
      </c>
      <c r="B195" s="2" t="s">
        <v>672</v>
      </c>
      <c r="C195" s="4" t="s">
        <v>493</v>
      </c>
      <c r="D195" s="2" t="s">
        <v>525</v>
      </c>
      <c r="E195" s="2" t="s">
        <v>639</v>
      </c>
      <c r="F195" s="2" t="s">
        <v>525</v>
      </c>
      <c r="G195" s="4">
        <f t="shared" si="3"/>
        <v>2</v>
      </c>
      <c r="I195" s="2" t="s">
        <v>2125</v>
      </c>
      <c r="J195" s="2" t="s">
        <v>524</v>
      </c>
      <c r="L195" s="7">
        <v>48.787562792099997</v>
      </c>
      <c r="M195" s="7">
        <v>2.36780410698</v>
      </c>
      <c r="N195" s="4" t="str">
        <f>VLOOKUP(C195,CHECKS!A:I,9,FALSE)</f>
        <v>#FA9ABA</v>
      </c>
      <c r="O195" s="4">
        <f>VLOOKUP(C195,CHECKS!A:I,6,FALSE)</f>
        <v>1.49</v>
      </c>
      <c r="P195" s="4">
        <f>VLOOKUP(C195,CHECKS!A:I,7,FALSE)</f>
        <v>4</v>
      </c>
      <c r="Q195" s="4">
        <f>VLOOKUP(C195,CHECKS!A:I,8,FALSE)</f>
        <v>7</v>
      </c>
      <c r="R195">
        <v>193</v>
      </c>
    </row>
    <row r="196" spans="1:18" x14ac:dyDescent="0.2">
      <c r="A196" s="4">
        <v>1950</v>
      </c>
      <c r="B196" s="2" t="s">
        <v>676</v>
      </c>
      <c r="C196" s="4" t="s">
        <v>675</v>
      </c>
      <c r="D196" s="2" t="s">
        <v>501</v>
      </c>
      <c r="E196" s="2" t="s">
        <v>677</v>
      </c>
      <c r="F196" s="2" t="s">
        <v>501</v>
      </c>
      <c r="G196" s="4">
        <f t="shared" si="3"/>
        <v>2</v>
      </c>
      <c r="H196" s="2" t="s">
        <v>584</v>
      </c>
      <c r="J196" s="2" t="s">
        <v>122</v>
      </c>
      <c r="K196" s="2" t="s">
        <v>501</v>
      </c>
      <c r="L196" s="7">
        <v>48.881404732199996</v>
      </c>
      <c r="M196" s="7">
        <v>2.3652187818499999</v>
      </c>
      <c r="N196" s="4" t="str">
        <f>VLOOKUP(C196,CHECKS!A:I,9,FALSE)</f>
        <v>#6ECA97</v>
      </c>
      <c r="O196" s="4">
        <f>VLOOKUP(C196,CHECKS!A:I,6,FALSE)</f>
        <v>1.29</v>
      </c>
      <c r="P196" s="4">
        <f>VLOOKUP(C196,CHECKS!A:I,7,FALSE)</f>
        <v>4</v>
      </c>
      <c r="Q196" s="4">
        <f>VLOOKUP(C196,CHECKS!A:I,8,FALSE)</f>
        <v>7</v>
      </c>
      <c r="R196">
        <v>194</v>
      </c>
    </row>
    <row r="197" spans="1:18" x14ac:dyDescent="0.2">
      <c r="A197" s="4">
        <v>1960</v>
      </c>
      <c r="B197" s="2" t="s">
        <v>677</v>
      </c>
      <c r="C197" s="4" t="s">
        <v>675</v>
      </c>
      <c r="D197" s="2" t="s">
        <v>122</v>
      </c>
      <c r="E197" s="2" t="s">
        <v>782</v>
      </c>
      <c r="F197" s="2" t="s">
        <v>122</v>
      </c>
      <c r="G197" s="4">
        <f t="shared" si="3"/>
        <v>3</v>
      </c>
      <c r="H197" s="2" t="s">
        <v>1401</v>
      </c>
      <c r="J197" s="2" t="s">
        <v>775</v>
      </c>
      <c r="K197" s="2" t="s">
        <v>1440</v>
      </c>
      <c r="L197" s="7">
        <v>48.882465245600002</v>
      </c>
      <c r="M197" s="7">
        <v>2.3701579617399999</v>
      </c>
      <c r="N197" s="4" t="str">
        <f>VLOOKUP(C197,CHECKS!A:I,9,FALSE)</f>
        <v>#6ECA97</v>
      </c>
      <c r="O197" s="4">
        <f>VLOOKUP(C197,CHECKS!A:I,6,FALSE)</f>
        <v>1.29</v>
      </c>
      <c r="P197" s="4">
        <f>VLOOKUP(C197,CHECKS!A:I,7,FALSE)</f>
        <v>4</v>
      </c>
      <c r="Q197" s="4">
        <f>VLOOKUP(C197,CHECKS!A:I,8,FALSE)</f>
        <v>7</v>
      </c>
      <c r="R197">
        <v>195</v>
      </c>
    </row>
    <row r="198" spans="1:18" x14ac:dyDescent="0.2">
      <c r="A198" s="4">
        <v>1970</v>
      </c>
      <c r="B198" s="2" t="s">
        <v>678</v>
      </c>
      <c r="C198" s="4" t="s">
        <v>675</v>
      </c>
      <c r="D198" s="2" t="s">
        <v>769</v>
      </c>
      <c r="E198" s="2" t="s">
        <v>783</v>
      </c>
      <c r="F198" s="2" t="s">
        <v>769</v>
      </c>
      <c r="G198" s="4">
        <f t="shared" si="3"/>
        <v>1</v>
      </c>
      <c r="J198" s="2" t="s">
        <v>776</v>
      </c>
      <c r="L198" s="7">
        <v>48.880821261400001</v>
      </c>
      <c r="M198" s="7">
        <v>2.3741471538400001</v>
      </c>
      <c r="N198" s="4" t="str">
        <f>VLOOKUP(C198,CHECKS!A:I,9,FALSE)</f>
        <v>#6ECA97</v>
      </c>
      <c r="O198" s="4">
        <f>VLOOKUP(C198,CHECKS!A:I,6,FALSE)</f>
        <v>1.29</v>
      </c>
      <c r="P198" s="4">
        <f>VLOOKUP(C198,CHECKS!A:I,7,FALSE)</f>
        <v>4</v>
      </c>
      <c r="Q198" s="4">
        <f>VLOOKUP(C198,CHECKS!A:I,8,FALSE)</f>
        <v>7</v>
      </c>
      <c r="R198">
        <v>196</v>
      </c>
    </row>
    <row r="199" spans="1:18" x14ac:dyDescent="0.2">
      <c r="A199" s="4">
        <v>1980</v>
      </c>
      <c r="B199" s="2" t="s">
        <v>679</v>
      </c>
      <c r="C199" s="4" t="s">
        <v>675</v>
      </c>
      <c r="D199" s="2" t="s">
        <v>770</v>
      </c>
      <c r="E199" s="2" t="s">
        <v>784</v>
      </c>
      <c r="F199" s="2" t="s">
        <v>770</v>
      </c>
      <c r="G199" s="4">
        <f t="shared" si="3"/>
        <v>1</v>
      </c>
      <c r="J199" s="2" t="s">
        <v>777</v>
      </c>
      <c r="L199" s="7">
        <v>48.878514113100003</v>
      </c>
      <c r="M199" s="7">
        <v>2.3816145119400001</v>
      </c>
      <c r="N199" s="4" t="str">
        <f>VLOOKUP(C199,CHECKS!A:I,9,FALSE)</f>
        <v>#6ECA97</v>
      </c>
      <c r="O199" s="4">
        <f>VLOOKUP(C199,CHECKS!A:I,6,FALSE)</f>
        <v>1.29</v>
      </c>
      <c r="P199" s="4">
        <f>VLOOKUP(C199,CHECKS!A:I,7,FALSE)</f>
        <v>4</v>
      </c>
      <c r="Q199" s="4">
        <f>VLOOKUP(C199,CHECKS!A:I,8,FALSE)</f>
        <v>7</v>
      </c>
      <c r="R199">
        <v>197</v>
      </c>
    </row>
    <row r="200" spans="1:18" x14ac:dyDescent="0.2">
      <c r="A200" s="4">
        <v>1990</v>
      </c>
      <c r="B200" s="2" t="s">
        <v>680</v>
      </c>
      <c r="C200" s="4" t="s">
        <v>675</v>
      </c>
      <c r="D200" s="2" t="s">
        <v>771</v>
      </c>
      <c r="E200" s="2" t="s">
        <v>785</v>
      </c>
      <c r="F200" s="2" t="s">
        <v>771</v>
      </c>
      <c r="G200" s="4">
        <f t="shared" si="3"/>
        <v>1</v>
      </c>
      <c r="J200" s="2" t="s">
        <v>778</v>
      </c>
      <c r="L200" s="7">
        <v>48.879481771899997</v>
      </c>
      <c r="M200" s="7">
        <v>2.3891158073800001</v>
      </c>
      <c r="N200" s="4" t="str">
        <f>VLOOKUP(C200,CHECKS!A:I,9,FALSE)</f>
        <v>#6ECA97</v>
      </c>
      <c r="O200" s="4">
        <f>VLOOKUP(C200,CHECKS!A:I,6,FALSE)</f>
        <v>1.29</v>
      </c>
      <c r="P200" s="4">
        <f>VLOOKUP(C200,CHECKS!A:I,7,FALSE)</f>
        <v>4</v>
      </c>
      <c r="Q200" s="4">
        <f>VLOOKUP(C200,CHECKS!A:I,8,FALSE)</f>
        <v>7</v>
      </c>
      <c r="R200">
        <v>198</v>
      </c>
    </row>
    <row r="201" spans="1:18" x14ac:dyDescent="0.2">
      <c r="A201" s="4">
        <v>2000</v>
      </c>
      <c r="B201" s="2" t="s">
        <v>681</v>
      </c>
      <c r="C201" s="4" t="s">
        <v>675</v>
      </c>
      <c r="D201" s="2" t="s">
        <v>772</v>
      </c>
      <c r="E201" s="2" t="s">
        <v>786</v>
      </c>
      <c r="F201" s="2" t="s">
        <v>772</v>
      </c>
      <c r="G201" s="4">
        <f t="shared" si="3"/>
        <v>1</v>
      </c>
      <c r="J201" s="2" t="s">
        <v>779</v>
      </c>
      <c r="L201" s="7">
        <v>48.881931998699997</v>
      </c>
      <c r="M201" s="7">
        <v>2.3934454564899998</v>
      </c>
      <c r="N201" s="4" t="str">
        <f>VLOOKUP(C201,CHECKS!A:I,9,FALSE)</f>
        <v>#6ECA97</v>
      </c>
      <c r="O201" s="4">
        <f>VLOOKUP(C201,CHECKS!A:I,6,FALSE)</f>
        <v>1.29</v>
      </c>
      <c r="P201" s="4">
        <f>VLOOKUP(C201,CHECKS!A:I,7,FALSE)</f>
        <v>4</v>
      </c>
      <c r="Q201" s="4">
        <f>VLOOKUP(C201,CHECKS!A:I,8,FALSE)</f>
        <v>7</v>
      </c>
      <c r="R201">
        <v>199</v>
      </c>
    </row>
    <row r="202" spans="1:18" x14ac:dyDescent="0.2">
      <c r="A202" s="4">
        <v>2010</v>
      </c>
      <c r="B202" s="2" t="s">
        <v>682</v>
      </c>
      <c r="C202" s="4" t="s">
        <v>675</v>
      </c>
      <c r="D202" s="2" t="s">
        <v>773</v>
      </c>
      <c r="E202" s="2" t="s">
        <v>787</v>
      </c>
      <c r="F202" s="2" t="s">
        <v>773</v>
      </c>
      <c r="G202" s="4">
        <f t="shared" si="3"/>
        <v>2</v>
      </c>
      <c r="H202" s="2" t="s">
        <v>978</v>
      </c>
      <c r="J202" s="2" t="s">
        <v>780</v>
      </c>
      <c r="K202" s="2" t="s">
        <v>773</v>
      </c>
      <c r="L202" s="7">
        <v>48.876949848099997</v>
      </c>
      <c r="M202" s="7">
        <v>2.39298396482</v>
      </c>
      <c r="N202" s="4" t="str">
        <f>VLOOKUP(C202,CHECKS!A:I,9,FALSE)</f>
        <v>#6ECA97</v>
      </c>
      <c r="O202" s="4">
        <f>VLOOKUP(C202,CHECKS!A:I,6,FALSE)</f>
        <v>1.29</v>
      </c>
      <c r="P202" s="4">
        <f>VLOOKUP(C202,CHECKS!A:I,7,FALSE)</f>
        <v>4</v>
      </c>
      <c r="Q202" s="4">
        <f>VLOOKUP(C202,CHECKS!A:I,8,FALSE)</f>
        <v>7</v>
      </c>
      <c r="R202">
        <v>200</v>
      </c>
    </row>
    <row r="203" spans="1:18" x14ac:dyDescent="0.2">
      <c r="A203" s="4">
        <v>2020</v>
      </c>
      <c r="B203" s="2" t="s">
        <v>683</v>
      </c>
      <c r="C203" s="4" t="s">
        <v>675</v>
      </c>
      <c r="D203" s="2" t="s">
        <v>774</v>
      </c>
      <c r="E203" s="2" t="s">
        <v>788</v>
      </c>
      <c r="F203" s="2" t="s">
        <v>774</v>
      </c>
      <c r="G203" s="4">
        <f t="shared" si="3"/>
        <v>2</v>
      </c>
      <c r="I203" s="2" t="s">
        <v>1791</v>
      </c>
      <c r="J203" s="2" t="s">
        <v>781</v>
      </c>
      <c r="L203" s="7">
        <v>48.879995794400003</v>
      </c>
      <c r="M203" s="7">
        <v>2.3989466624600002</v>
      </c>
      <c r="N203" s="4" t="str">
        <f>VLOOKUP(C203,CHECKS!A:I,9,FALSE)</f>
        <v>#6ECA97</v>
      </c>
      <c r="O203" s="4">
        <f>VLOOKUP(C203,CHECKS!A:I,6,FALSE)</f>
        <v>1.29</v>
      </c>
      <c r="P203" s="4">
        <f>VLOOKUP(C203,CHECKS!A:I,7,FALSE)</f>
        <v>4</v>
      </c>
      <c r="Q203" s="4">
        <f>VLOOKUP(C203,CHECKS!A:I,8,FALSE)</f>
        <v>7</v>
      </c>
      <c r="R203">
        <v>201</v>
      </c>
    </row>
    <row r="204" spans="1:18" x14ac:dyDescent="0.2">
      <c r="A204" s="4">
        <v>2030</v>
      </c>
      <c r="B204" s="2" t="s">
        <v>684</v>
      </c>
      <c r="C204" s="4" t="s">
        <v>789</v>
      </c>
      <c r="D204" s="2" t="s">
        <v>790</v>
      </c>
      <c r="E204" s="2" t="s">
        <v>685</v>
      </c>
      <c r="F204" s="2" t="s">
        <v>790</v>
      </c>
      <c r="G204" s="4">
        <f t="shared" si="3"/>
        <v>2</v>
      </c>
      <c r="I204" s="2" t="s">
        <v>2203</v>
      </c>
      <c r="J204" s="2" t="s">
        <v>791</v>
      </c>
      <c r="L204" s="7">
        <v>48.835930879199999</v>
      </c>
      <c r="M204" s="7">
        <v>2.2781616712799999</v>
      </c>
      <c r="N204" s="4" t="str">
        <f>VLOOKUP(C204,CHECKS!A:I,9,FALSE)</f>
        <v>#E19BDF</v>
      </c>
      <c r="O204" s="4">
        <f>VLOOKUP(C204,CHECKS!A:I,6,FALSE)</f>
        <v>1.41</v>
      </c>
      <c r="P204" s="4">
        <f>VLOOKUP(C204,CHECKS!A:I,7,FALSE)</f>
        <v>4</v>
      </c>
      <c r="Q204" s="4">
        <f>VLOOKUP(C204,CHECKS!A:I,8,FALSE)</f>
        <v>7</v>
      </c>
      <c r="R204">
        <v>202</v>
      </c>
    </row>
    <row r="205" spans="1:18" x14ac:dyDescent="0.2">
      <c r="A205" s="4">
        <v>2040</v>
      </c>
      <c r="B205" s="2" t="s">
        <v>685</v>
      </c>
      <c r="C205" s="4" t="s">
        <v>789</v>
      </c>
      <c r="D205" s="2" t="s">
        <v>791</v>
      </c>
      <c r="E205" s="2" t="s">
        <v>821</v>
      </c>
      <c r="F205" s="2" t="s">
        <v>791</v>
      </c>
      <c r="G205" s="4">
        <f t="shared" si="3"/>
        <v>1</v>
      </c>
      <c r="J205" s="2" t="s">
        <v>859</v>
      </c>
      <c r="L205" s="7">
        <v>48.838960939400003</v>
      </c>
      <c r="M205" s="7">
        <v>2.2827000272400002</v>
      </c>
      <c r="N205" s="4" t="str">
        <f>VLOOKUP(C205,CHECKS!A:I,9,FALSE)</f>
        <v>#E19BDF</v>
      </c>
      <c r="O205" s="4">
        <f>VLOOKUP(C205,CHECKS!A:I,6,FALSE)</f>
        <v>1.41</v>
      </c>
      <c r="P205" s="4">
        <f>VLOOKUP(C205,CHECKS!A:I,7,FALSE)</f>
        <v>4</v>
      </c>
      <c r="Q205" s="4">
        <f>VLOOKUP(C205,CHECKS!A:I,8,FALSE)</f>
        <v>7</v>
      </c>
      <c r="R205">
        <v>203</v>
      </c>
    </row>
    <row r="206" spans="1:18" x14ac:dyDescent="0.2">
      <c r="A206" s="4">
        <v>2050</v>
      </c>
      <c r="B206" s="2" t="s">
        <v>686</v>
      </c>
      <c r="C206" s="4" t="s">
        <v>789</v>
      </c>
      <c r="D206" s="2" t="s">
        <v>792</v>
      </c>
      <c r="E206" s="2" t="s">
        <v>822</v>
      </c>
      <c r="F206" s="2" t="s">
        <v>792</v>
      </c>
      <c r="G206" s="4">
        <f t="shared" si="3"/>
        <v>1</v>
      </c>
      <c r="J206" s="2" t="s">
        <v>860</v>
      </c>
      <c r="L206" s="7">
        <v>48.841094056300001</v>
      </c>
      <c r="M206" s="7">
        <v>2.2879457665</v>
      </c>
      <c r="N206" s="4" t="str">
        <f>VLOOKUP(C206,CHECKS!A:I,9,FALSE)</f>
        <v>#E19BDF</v>
      </c>
      <c r="O206" s="4">
        <f>VLOOKUP(C206,CHECKS!A:I,6,FALSE)</f>
        <v>1.41</v>
      </c>
      <c r="P206" s="4">
        <f>VLOOKUP(C206,CHECKS!A:I,7,FALSE)</f>
        <v>4</v>
      </c>
      <c r="Q206" s="4">
        <f>VLOOKUP(C206,CHECKS!A:I,8,FALSE)</f>
        <v>7</v>
      </c>
      <c r="R206">
        <v>204</v>
      </c>
    </row>
    <row r="207" spans="1:18" x14ac:dyDescent="0.2">
      <c r="A207" s="4">
        <v>2060</v>
      </c>
      <c r="B207" s="2" t="s">
        <v>687</v>
      </c>
      <c r="C207" s="4" t="s">
        <v>789</v>
      </c>
      <c r="D207" s="2" t="s">
        <v>793</v>
      </c>
      <c r="E207" s="2" t="s">
        <v>823</v>
      </c>
      <c r="F207" s="2" t="s">
        <v>793</v>
      </c>
      <c r="G207" s="4">
        <f t="shared" si="3"/>
        <v>1</v>
      </c>
      <c r="J207" s="2" t="s">
        <v>861</v>
      </c>
      <c r="L207" s="7">
        <v>48.842746779800002</v>
      </c>
      <c r="M207" s="7">
        <v>2.29191241332</v>
      </c>
      <c r="N207" s="4" t="str">
        <f>VLOOKUP(C207,CHECKS!A:I,9,FALSE)</f>
        <v>#E19BDF</v>
      </c>
      <c r="O207" s="4">
        <f>VLOOKUP(C207,CHECKS!A:I,6,FALSE)</f>
        <v>1.41</v>
      </c>
      <c r="P207" s="4">
        <f>VLOOKUP(C207,CHECKS!A:I,7,FALSE)</f>
        <v>4</v>
      </c>
      <c r="Q207" s="4">
        <f>VLOOKUP(C207,CHECKS!A:I,8,FALSE)</f>
        <v>7</v>
      </c>
      <c r="R207">
        <v>205</v>
      </c>
    </row>
    <row r="208" spans="1:18" x14ac:dyDescent="0.2">
      <c r="A208" s="4">
        <v>2070</v>
      </c>
      <c r="B208" s="2" t="s">
        <v>688</v>
      </c>
      <c r="C208" s="4" t="s">
        <v>789</v>
      </c>
      <c r="D208" s="2" t="s">
        <v>794</v>
      </c>
      <c r="E208" s="2" t="s">
        <v>824</v>
      </c>
      <c r="F208" s="2" t="s">
        <v>794</v>
      </c>
      <c r="G208" s="4">
        <f t="shared" si="3"/>
        <v>1</v>
      </c>
      <c r="J208" s="2" t="s">
        <v>862</v>
      </c>
      <c r="L208" s="7">
        <v>48.844794764600003</v>
      </c>
      <c r="M208" s="7">
        <v>2.2939519636400001</v>
      </c>
      <c r="N208" s="4" t="str">
        <f>VLOOKUP(C208,CHECKS!A:I,9,FALSE)</f>
        <v>#E19BDF</v>
      </c>
      <c r="O208" s="4">
        <f>VLOOKUP(C208,CHECKS!A:I,6,FALSE)</f>
        <v>1.41</v>
      </c>
      <c r="P208" s="4">
        <f>VLOOKUP(C208,CHECKS!A:I,7,FALSE)</f>
        <v>4</v>
      </c>
      <c r="Q208" s="4">
        <f>VLOOKUP(C208,CHECKS!A:I,8,FALSE)</f>
        <v>7</v>
      </c>
      <c r="R208">
        <v>206</v>
      </c>
    </row>
    <row r="209" spans="1:18" x14ac:dyDescent="0.2">
      <c r="A209" s="4">
        <v>2080</v>
      </c>
      <c r="B209" s="2" t="s">
        <v>689</v>
      </c>
      <c r="C209" s="4" t="s">
        <v>789</v>
      </c>
      <c r="D209" s="2" t="s">
        <v>426</v>
      </c>
      <c r="E209" s="2" t="s">
        <v>825</v>
      </c>
      <c r="F209" s="2" t="s">
        <v>426</v>
      </c>
      <c r="G209" s="4">
        <f t="shared" si="3"/>
        <v>3</v>
      </c>
      <c r="H209" s="2" t="s">
        <v>1403</v>
      </c>
      <c r="J209" s="2" t="s">
        <v>863</v>
      </c>
      <c r="K209" s="2" t="s">
        <v>1448</v>
      </c>
      <c r="L209" s="7">
        <v>48.849350553599997</v>
      </c>
      <c r="M209" s="7">
        <v>2.2983014017299999</v>
      </c>
      <c r="N209" s="4" t="str">
        <f>VLOOKUP(C209,CHECKS!A:I,9,FALSE)</f>
        <v>#E19BDF</v>
      </c>
      <c r="O209" s="4">
        <f>VLOOKUP(C209,CHECKS!A:I,6,FALSE)</f>
        <v>1.41</v>
      </c>
      <c r="P209" s="4">
        <f>VLOOKUP(C209,CHECKS!A:I,7,FALSE)</f>
        <v>4</v>
      </c>
      <c r="Q209" s="4">
        <f>VLOOKUP(C209,CHECKS!A:I,8,FALSE)</f>
        <v>7</v>
      </c>
      <c r="R209">
        <v>207</v>
      </c>
    </row>
    <row r="210" spans="1:18" x14ac:dyDescent="0.2">
      <c r="A210" s="4">
        <v>2090</v>
      </c>
      <c r="B210" s="2" t="s">
        <v>690</v>
      </c>
      <c r="C210" s="4" t="s">
        <v>789</v>
      </c>
      <c r="D210" s="2" t="s">
        <v>795</v>
      </c>
      <c r="E210" s="2" t="s">
        <v>826</v>
      </c>
      <c r="F210" s="2" t="s">
        <v>795</v>
      </c>
      <c r="G210" s="4">
        <f t="shared" si="3"/>
        <v>1</v>
      </c>
      <c r="J210" s="2" t="s">
        <v>864</v>
      </c>
      <c r="L210" s="7">
        <v>48.854682156899997</v>
      </c>
      <c r="M210" s="7">
        <v>2.3060974036999999</v>
      </c>
      <c r="N210" s="4" t="str">
        <f>VLOOKUP(C210,CHECKS!A:I,9,FALSE)</f>
        <v>#E19BDF</v>
      </c>
      <c r="O210" s="4">
        <f>VLOOKUP(C210,CHECKS!A:I,6,FALSE)</f>
        <v>1.41</v>
      </c>
      <c r="P210" s="4">
        <f>VLOOKUP(C210,CHECKS!A:I,7,FALSE)</f>
        <v>4</v>
      </c>
      <c r="Q210" s="4">
        <f>VLOOKUP(C210,CHECKS!A:I,8,FALSE)</f>
        <v>7</v>
      </c>
      <c r="R210">
        <v>208</v>
      </c>
    </row>
    <row r="211" spans="1:18" x14ac:dyDescent="0.2">
      <c r="A211" s="4">
        <v>2100</v>
      </c>
      <c r="B211" s="2" t="s">
        <v>691</v>
      </c>
      <c r="C211" s="4" t="s">
        <v>789</v>
      </c>
      <c r="D211" s="2" t="s">
        <v>796</v>
      </c>
      <c r="E211" s="2" t="s">
        <v>827</v>
      </c>
      <c r="F211" s="2" t="s">
        <v>796</v>
      </c>
      <c r="G211" s="4">
        <f t="shared" si="3"/>
        <v>1</v>
      </c>
      <c r="J211" s="2" t="s">
        <v>865</v>
      </c>
      <c r="L211" s="7">
        <v>48.857725412900002</v>
      </c>
      <c r="M211" s="7">
        <v>2.31056596095</v>
      </c>
      <c r="N211" s="4" t="str">
        <f>VLOOKUP(C211,CHECKS!A:I,9,FALSE)</f>
        <v>#E19BDF</v>
      </c>
      <c r="O211" s="4">
        <f>VLOOKUP(C211,CHECKS!A:I,6,FALSE)</f>
        <v>1.41</v>
      </c>
      <c r="P211" s="4">
        <f>VLOOKUP(C211,CHECKS!A:I,7,FALSE)</f>
        <v>4</v>
      </c>
      <c r="Q211" s="4">
        <f>VLOOKUP(C211,CHECKS!A:I,8,FALSE)</f>
        <v>7</v>
      </c>
      <c r="R211">
        <v>209</v>
      </c>
    </row>
    <row r="212" spans="1:18" x14ac:dyDescent="0.2">
      <c r="A212" s="4">
        <v>2110</v>
      </c>
      <c r="B212" s="2" t="s">
        <v>692</v>
      </c>
      <c r="C212" s="4" t="s">
        <v>789</v>
      </c>
      <c r="D212" s="2" t="s">
        <v>797</v>
      </c>
      <c r="E212" s="2" t="s">
        <v>828</v>
      </c>
      <c r="F212" s="2" t="s">
        <v>797</v>
      </c>
      <c r="G212" s="4">
        <f t="shared" si="3"/>
        <v>2</v>
      </c>
      <c r="H212" s="2" t="s">
        <v>1029</v>
      </c>
      <c r="J212" s="2" t="s">
        <v>866</v>
      </c>
      <c r="K212" s="2" t="s">
        <v>797</v>
      </c>
      <c r="L212" s="7">
        <v>48.862325329100003</v>
      </c>
      <c r="M212" s="7">
        <v>2.3151384321899999</v>
      </c>
      <c r="N212" s="4" t="str">
        <f>VLOOKUP(C212,CHECKS!A:I,9,FALSE)</f>
        <v>#E19BDF</v>
      </c>
      <c r="O212" s="4">
        <f>VLOOKUP(C212,CHECKS!A:I,6,FALSE)</f>
        <v>1.41</v>
      </c>
      <c r="P212" s="4">
        <f>VLOOKUP(C212,CHECKS!A:I,7,FALSE)</f>
        <v>4</v>
      </c>
      <c r="Q212" s="4">
        <f>VLOOKUP(C212,CHECKS!A:I,8,FALSE)</f>
        <v>7</v>
      </c>
      <c r="R212">
        <v>210</v>
      </c>
    </row>
    <row r="213" spans="1:18" x14ac:dyDescent="0.2">
      <c r="A213" s="4">
        <v>2120</v>
      </c>
      <c r="B213" s="2" t="s">
        <v>693</v>
      </c>
      <c r="C213" s="4" t="s">
        <v>789</v>
      </c>
      <c r="D213" s="2" t="s">
        <v>17</v>
      </c>
      <c r="E213" s="2" t="s">
        <v>829</v>
      </c>
      <c r="F213" s="2" t="s">
        <v>17</v>
      </c>
      <c r="G213" s="4">
        <f t="shared" si="3"/>
        <v>3</v>
      </c>
      <c r="H213" s="2" t="s">
        <v>1394</v>
      </c>
      <c r="J213" s="2" t="s">
        <v>867</v>
      </c>
      <c r="K213" s="2" t="s">
        <v>1435</v>
      </c>
      <c r="L213" s="7">
        <v>48.866818369000001</v>
      </c>
      <c r="M213" s="7">
        <v>2.32208284869</v>
      </c>
      <c r="N213" s="4" t="str">
        <f>VLOOKUP(C213,CHECKS!A:I,9,FALSE)</f>
        <v>#E19BDF</v>
      </c>
      <c r="O213" s="4">
        <f>VLOOKUP(C213,CHECKS!A:I,6,FALSE)</f>
        <v>1.41</v>
      </c>
      <c r="P213" s="4">
        <f>VLOOKUP(C213,CHECKS!A:I,7,FALSE)</f>
        <v>4</v>
      </c>
      <c r="Q213" s="4">
        <f>VLOOKUP(C213,CHECKS!A:I,8,FALSE)</f>
        <v>7</v>
      </c>
      <c r="R213">
        <v>211</v>
      </c>
    </row>
    <row r="214" spans="1:18" x14ac:dyDescent="0.2">
      <c r="A214" s="4">
        <v>2130</v>
      </c>
      <c r="B214" s="2" t="s">
        <v>694</v>
      </c>
      <c r="C214" s="4" t="s">
        <v>789</v>
      </c>
      <c r="D214" s="2" t="s">
        <v>798</v>
      </c>
      <c r="E214" s="2" t="s">
        <v>830</v>
      </c>
      <c r="F214" s="2" t="s">
        <v>798</v>
      </c>
      <c r="G214" s="4">
        <f t="shared" si="3"/>
        <v>3</v>
      </c>
      <c r="H214" s="2" t="s">
        <v>1405</v>
      </c>
      <c r="J214" s="2" t="s">
        <v>868</v>
      </c>
      <c r="K214" s="2" t="s">
        <v>1449</v>
      </c>
      <c r="L214" s="7">
        <v>48.869633172999997</v>
      </c>
      <c r="M214" s="7">
        <v>2.3262722740299999</v>
      </c>
      <c r="N214" s="4" t="str">
        <f>VLOOKUP(C214,CHECKS!A:I,9,FALSE)</f>
        <v>#E19BDF</v>
      </c>
      <c r="O214" s="4">
        <f>VLOOKUP(C214,CHECKS!A:I,6,FALSE)</f>
        <v>1.41</v>
      </c>
      <c r="P214" s="4">
        <f>VLOOKUP(C214,CHECKS!A:I,7,FALSE)</f>
        <v>4</v>
      </c>
      <c r="Q214" s="4">
        <f>VLOOKUP(C214,CHECKS!A:I,8,FALSE)</f>
        <v>7</v>
      </c>
      <c r="R214">
        <v>212</v>
      </c>
    </row>
    <row r="215" spans="1:18" x14ac:dyDescent="0.2">
      <c r="A215" s="4">
        <v>2140</v>
      </c>
      <c r="B215" s="2" t="s">
        <v>695</v>
      </c>
      <c r="C215" s="4" t="s">
        <v>789</v>
      </c>
      <c r="D215" s="2" t="s">
        <v>237</v>
      </c>
      <c r="E215" s="2" t="s">
        <v>831</v>
      </c>
      <c r="F215" s="2" t="s">
        <v>237</v>
      </c>
      <c r="G215" s="4">
        <f t="shared" si="3"/>
        <v>4</v>
      </c>
      <c r="H215" s="2" t="s">
        <v>1416</v>
      </c>
      <c r="J215" s="2" t="s">
        <v>869</v>
      </c>
      <c r="K215" s="2" t="s">
        <v>1442</v>
      </c>
      <c r="L215" s="7">
        <v>48.870641732300001</v>
      </c>
      <c r="M215" s="7">
        <v>2.3321385995899999</v>
      </c>
      <c r="N215" s="4" t="str">
        <f>VLOOKUP(C215,CHECKS!A:I,9,FALSE)</f>
        <v>#E19BDF</v>
      </c>
      <c r="O215" s="4">
        <f>VLOOKUP(C215,CHECKS!A:I,6,FALSE)</f>
        <v>1.41</v>
      </c>
      <c r="P215" s="4">
        <f>VLOOKUP(C215,CHECKS!A:I,7,FALSE)</f>
        <v>4</v>
      </c>
      <c r="Q215" s="4">
        <f>VLOOKUP(C215,CHECKS!A:I,8,FALSE)</f>
        <v>7</v>
      </c>
      <c r="R215">
        <v>213</v>
      </c>
    </row>
    <row r="216" spans="1:18" x14ac:dyDescent="0.2">
      <c r="A216" s="4">
        <v>2150</v>
      </c>
      <c r="B216" s="2" t="s">
        <v>696</v>
      </c>
      <c r="C216" s="4" t="s">
        <v>789</v>
      </c>
      <c r="D216" s="2" t="s">
        <v>799</v>
      </c>
      <c r="E216" s="2" t="s">
        <v>832</v>
      </c>
      <c r="F216" s="2" t="s">
        <v>799</v>
      </c>
      <c r="G216" s="4">
        <f t="shared" si="3"/>
        <v>2</v>
      </c>
      <c r="H216" s="2" t="s">
        <v>742</v>
      </c>
      <c r="J216" s="2" t="s">
        <v>870</v>
      </c>
      <c r="K216" s="2" t="s">
        <v>799</v>
      </c>
      <c r="L216" s="7">
        <v>48.871786602100002</v>
      </c>
      <c r="M216" s="7">
        <v>2.3390305467200001</v>
      </c>
      <c r="N216" s="4" t="str">
        <f>VLOOKUP(C216,CHECKS!A:I,9,FALSE)</f>
        <v>#E19BDF</v>
      </c>
      <c r="O216" s="4">
        <f>VLOOKUP(C216,CHECKS!A:I,6,FALSE)</f>
        <v>1.41</v>
      </c>
      <c r="P216" s="4">
        <f>VLOOKUP(C216,CHECKS!A:I,7,FALSE)</f>
        <v>4</v>
      </c>
      <c r="Q216" s="4">
        <f>VLOOKUP(C216,CHECKS!A:I,8,FALSE)</f>
        <v>7</v>
      </c>
      <c r="R216">
        <v>214</v>
      </c>
    </row>
    <row r="217" spans="1:18" x14ac:dyDescent="0.2">
      <c r="A217" s="4">
        <v>2160</v>
      </c>
      <c r="B217" s="2" t="s">
        <v>697</v>
      </c>
      <c r="C217" s="4" t="s">
        <v>789</v>
      </c>
      <c r="D217" s="2" t="s">
        <v>800</v>
      </c>
      <c r="E217" s="2" t="s">
        <v>833</v>
      </c>
      <c r="F217" s="2" t="s">
        <v>800</v>
      </c>
      <c r="G217" s="4">
        <f t="shared" si="3"/>
        <v>2</v>
      </c>
      <c r="J217" s="2" t="s">
        <v>871</v>
      </c>
      <c r="L217" s="7">
        <v>48.871497739399999</v>
      </c>
      <c r="M217" s="7">
        <v>2.3431547730800002</v>
      </c>
      <c r="N217" s="4" t="str">
        <f>VLOOKUP(C217,CHECKS!A:I,9,FALSE)</f>
        <v>#E19BDF</v>
      </c>
      <c r="O217" s="4">
        <f>VLOOKUP(C217,CHECKS!A:I,6,FALSE)</f>
        <v>1.41</v>
      </c>
      <c r="P217" s="4">
        <f>VLOOKUP(C217,CHECKS!A:I,7,FALSE)</f>
        <v>4</v>
      </c>
      <c r="Q217" s="4">
        <f>VLOOKUP(C217,CHECKS!A:I,8,FALSE)</f>
        <v>7</v>
      </c>
      <c r="R217">
        <v>215</v>
      </c>
    </row>
    <row r="218" spans="1:18" x14ac:dyDescent="0.2">
      <c r="A218" s="4">
        <v>2170</v>
      </c>
      <c r="B218" s="2" t="s">
        <v>698</v>
      </c>
      <c r="C218" s="4" t="s">
        <v>789</v>
      </c>
      <c r="D218" s="2" t="s">
        <v>801</v>
      </c>
      <c r="E218" s="2" t="s">
        <v>834</v>
      </c>
      <c r="F218" s="2" t="s">
        <v>801</v>
      </c>
      <c r="G218" s="4">
        <f t="shared" si="3"/>
        <v>2</v>
      </c>
      <c r="J218" s="2" t="s">
        <v>872</v>
      </c>
      <c r="L218" s="7">
        <v>48.8701642009</v>
      </c>
      <c r="M218" s="7">
        <v>2.3504979718599999</v>
      </c>
      <c r="N218" s="4" t="str">
        <f>VLOOKUP(C218,CHECKS!A:I,9,FALSE)</f>
        <v>#E19BDF</v>
      </c>
      <c r="O218" s="4">
        <f>VLOOKUP(C218,CHECKS!A:I,6,FALSE)</f>
        <v>1.41</v>
      </c>
      <c r="P218" s="4">
        <f>VLOOKUP(C218,CHECKS!A:I,7,FALSE)</f>
        <v>4</v>
      </c>
      <c r="Q218" s="4">
        <f>VLOOKUP(C218,CHECKS!A:I,8,FALSE)</f>
        <v>7</v>
      </c>
      <c r="R218">
        <v>216</v>
      </c>
    </row>
    <row r="219" spans="1:18" x14ac:dyDescent="0.2">
      <c r="A219" s="4">
        <v>2180</v>
      </c>
      <c r="B219" s="2" t="s">
        <v>699</v>
      </c>
      <c r="C219" s="4" t="s">
        <v>789</v>
      </c>
      <c r="D219" s="2" t="s">
        <v>313</v>
      </c>
      <c r="E219" s="2" t="s">
        <v>835</v>
      </c>
      <c r="F219" s="2" t="s">
        <v>313</v>
      </c>
      <c r="G219" s="4">
        <f t="shared" si="3"/>
        <v>3</v>
      </c>
      <c r="H219" s="2" t="s">
        <v>1433</v>
      </c>
      <c r="J219" s="2" t="s">
        <v>873</v>
      </c>
      <c r="K219" s="2" t="s">
        <v>1445</v>
      </c>
      <c r="L219" s="7">
        <v>48.869224171699997</v>
      </c>
      <c r="M219" s="7">
        <v>2.3546037907000001</v>
      </c>
      <c r="N219" s="4" t="str">
        <f>VLOOKUP(C219,CHECKS!A:I,9,FALSE)</f>
        <v>#E19BDF</v>
      </c>
      <c r="O219" s="4">
        <f>VLOOKUP(C219,CHECKS!A:I,6,FALSE)</f>
        <v>1.41</v>
      </c>
      <c r="P219" s="4">
        <f>VLOOKUP(C219,CHECKS!A:I,7,FALSE)</f>
        <v>4</v>
      </c>
      <c r="Q219" s="4">
        <f>VLOOKUP(C219,CHECKS!A:I,8,FALSE)</f>
        <v>7</v>
      </c>
      <c r="R219">
        <v>217</v>
      </c>
    </row>
    <row r="220" spans="1:18" x14ac:dyDescent="0.2">
      <c r="A220" s="4">
        <v>2190</v>
      </c>
      <c r="B220" s="2" t="s">
        <v>700</v>
      </c>
      <c r="C220" s="4" t="s">
        <v>789</v>
      </c>
      <c r="D220" s="2" t="s">
        <v>244</v>
      </c>
      <c r="E220" s="2" t="s">
        <v>836</v>
      </c>
      <c r="F220" s="2" t="s">
        <v>244</v>
      </c>
      <c r="G220" s="4">
        <f t="shared" si="3"/>
        <v>5</v>
      </c>
      <c r="H220" s="2" t="s">
        <v>1422</v>
      </c>
      <c r="J220" s="2" t="s">
        <v>874</v>
      </c>
      <c r="K220" s="2" t="s">
        <v>1443</v>
      </c>
      <c r="L220" s="7">
        <v>48.867158725300001</v>
      </c>
      <c r="M220" s="7">
        <v>2.3639578365</v>
      </c>
      <c r="N220" s="4" t="str">
        <f>VLOOKUP(C220,CHECKS!A:I,9,FALSE)</f>
        <v>#E19BDF</v>
      </c>
      <c r="O220" s="4">
        <f>VLOOKUP(C220,CHECKS!A:I,6,FALSE)</f>
        <v>1.41</v>
      </c>
      <c r="P220" s="4">
        <f>VLOOKUP(C220,CHECKS!A:I,7,FALSE)</f>
        <v>4</v>
      </c>
      <c r="Q220" s="4">
        <f>VLOOKUP(C220,CHECKS!A:I,8,FALSE)</f>
        <v>7</v>
      </c>
      <c r="R220">
        <v>218</v>
      </c>
    </row>
    <row r="221" spans="1:18" x14ac:dyDescent="0.2">
      <c r="A221" s="4">
        <v>2200</v>
      </c>
      <c r="B221" s="2" t="s">
        <v>701</v>
      </c>
      <c r="C221" s="4" t="s">
        <v>789</v>
      </c>
      <c r="D221" s="2" t="s">
        <v>802</v>
      </c>
      <c r="E221" s="2" t="s">
        <v>837</v>
      </c>
      <c r="F221" s="2" t="s">
        <v>802</v>
      </c>
      <c r="G221" s="4">
        <f t="shared" si="3"/>
        <v>1</v>
      </c>
      <c r="J221" s="2" t="s">
        <v>875</v>
      </c>
      <c r="L221" s="7">
        <v>48.863257945000001</v>
      </c>
      <c r="M221" s="7">
        <v>2.36666109472</v>
      </c>
      <c r="N221" s="4" t="str">
        <f>VLOOKUP(C221,CHECKS!A:I,9,FALSE)</f>
        <v>#E19BDF</v>
      </c>
      <c r="O221" s="4">
        <f>VLOOKUP(C221,CHECKS!A:I,6,FALSE)</f>
        <v>1.41</v>
      </c>
      <c r="P221" s="4">
        <f>VLOOKUP(C221,CHECKS!A:I,7,FALSE)</f>
        <v>4</v>
      </c>
      <c r="Q221" s="4">
        <f>VLOOKUP(C221,CHECKS!A:I,8,FALSE)</f>
        <v>7</v>
      </c>
      <c r="R221">
        <v>219</v>
      </c>
    </row>
    <row r="222" spans="1:18" x14ac:dyDescent="0.2">
      <c r="A222" s="4">
        <v>2210</v>
      </c>
      <c r="B222" s="2" t="s">
        <v>702</v>
      </c>
      <c r="C222" s="4" t="s">
        <v>789</v>
      </c>
      <c r="D222" s="2" t="s">
        <v>803</v>
      </c>
      <c r="E222" s="2" t="s">
        <v>838</v>
      </c>
      <c r="F222" s="2" t="s">
        <v>803</v>
      </c>
      <c r="G222" s="4">
        <f t="shared" si="3"/>
        <v>1</v>
      </c>
      <c r="J222" s="2" t="s">
        <v>876</v>
      </c>
      <c r="L222" s="7">
        <v>48.861168865499998</v>
      </c>
      <c r="M222" s="7">
        <v>2.3672108664099998</v>
      </c>
      <c r="N222" s="4" t="str">
        <f>VLOOKUP(C222,CHECKS!A:I,9,FALSE)</f>
        <v>#E19BDF</v>
      </c>
      <c r="O222" s="4">
        <f>VLOOKUP(C222,CHECKS!A:I,6,FALSE)</f>
        <v>1.41</v>
      </c>
      <c r="P222" s="4">
        <f>VLOOKUP(C222,CHECKS!A:I,7,FALSE)</f>
        <v>4</v>
      </c>
      <c r="Q222" s="4">
        <f>VLOOKUP(C222,CHECKS!A:I,8,FALSE)</f>
        <v>7</v>
      </c>
      <c r="R222">
        <v>220</v>
      </c>
    </row>
    <row r="223" spans="1:18" x14ac:dyDescent="0.2">
      <c r="A223" s="4">
        <v>2220</v>
      </c>
      <c r="B223" s="2" t="s">
        <v>703</v>
      </c>
      <c r="C223" s="4" t="s">
        <v>789</v>
      </c>
      <c r="D223" s="2" t="s">
        <v>804</v>
      </c>
      <c r="E223" s="2" t="s">
        <v>839</v>
      </c>
      <c r="F223" s="2" t="s">
        <v>804</v>
      </c>
      <c r="G223" s="4">
        <f t="shared" si="3"/>
        <v>1</v>
      </c>
      <c r="J223" s="2" t="s">
        <v>877</v>
      </c>
      <c r="L223" s="7">
        <v>48.857420037499999</v>
      </c>
      <c r="M223" s="7">
        <v>2.3681082907</v>
      </c>
      <c r="N223" s="4" t="str">
        <f>VLOOKUP(C223,CHECKS!A:I,9,FALSE)</f>
        <v>#E19BDF</v>
      </c>
      <c r="O223" s="4">
        <f>VLOOKUP(C223,CHECKS!A:I,6,FALSE)</f>
        <v>1.41</v>
      </c>
      <c r="P223" s="4">
        <f>VLOOKUP(C223,CHECKS!A:I,7,FALSE)</f>
        <v>4</v>
      </c>
      <c r="Q223" s="4">
        <f>VLOOKUP(C223,CHECKS!A:I,8,FALSE)</f>
        <v>7</v>
      </c>
      <c r="R223">
        <v>221</v>
      </c>
    </row>
    <row r="224" spans="1:18" x14ac:dyDescent="0.2">
      <c r="A224" s="4">
        <v>2230</v>
      </c>
      <c r="B224" s="2" t="s">
        <v>704</v>
      </c>
      <c r="C224" s="4" t="s">
        <v>789</v>
      </c>
      <c r="D224" s="2" t="s">
        <v>23</v>
      </c>
      <c r="E224" s="2" t="s">
        <v>840</v>
      </c>
      <c r="F224" s="2" t="s">
        <v>23</v>
      </c>
      <c r="G224" s="4">
        <f t="shared" si="3"/>
        <v>3</v>
      </c>
      <c r="H224" s="2" t="s">
        <v>1384</v>
      </c>
      <c r="J224" s="2" t="s">
        <v>878</v>
      </c>
      <c r="K224" s="2" t="s">
        <v>1437</v>
      </c>
      <c r="L224" s="7">
        <v>48.853439427600001</v>
      </c>
      <c r="M224" s="7">
        <v>2.36951356952</v>
      </c>
      <c r="N224" s="4" t="str">
        <f>VLOOKUP(C224,CHECKS!A:I,9,FALSE)</f>
        <v>#E19BDF</v>
      </c>
      <c r="O224" s="4">
        <f>VLOOKUP(C224,CHECKS!A:I,6,FALSE)</f>
        <v>1.41</v>
      </c>
      <c r="P224" s="4">
        <f>VLOOKUP(C224,CHECKS!A:I,7,FALSE)</f>
        <v>4</v>
      </c>
      <c r="Q224" s="4">
        <f>VLOOKUP(C224,CHECKS!A:I,8,FALSE)</f>
        <v>7</v>
      </c>
      <c r="R224">
        <v>222</v>
      </c>
    </row>
    <row r="225" spans="1:18" x14ac:dyDescent="0.2">
      <c r="A225" s="4">
        <v>2240</v>
      </c>
      <c r="B225" s="2" t="s">
        <v>705</v>
      </c>
      <c r="C225" s="4" t="s">
        <v>789</v>
      </c>
      <c r="D225" s="2" t="s">
        <v>805</v>
      </c>
      <c r="E225" s="2" t="s">
        <v>841</v>
      </c>
      <c r="F225" s="2" t="s">
        <v>805</v>
      </c>
      <c r="G225" s="4">
        <f t="shared" si="3"/>
        <v>1</v>
      </c>
      <c r="J225" s="2" t="s">
        <v>879</v>
      </c>
      <c r="L225" s="7">
        <v>48.8512711264</v>
      </c>
      <c r="M225" s="7">
        <v>2.37611877334</v>
      </c>
      <c r="N225" s="4" t="str">
        <f>VLOOKUP(C225,CHECKS!A:I,9,FALSE)</f>
        <v>#E19BDF</v>
      </c>
      <c r="O225" s="4">
        <f>VLOOKUP(C225,CHECKS!A:I,6,FALSE)</f>
        <v>1.41</v>
      </c>
      <c r="P225" s="4">
        <f>VLOOKUP(C225,CHECKS!A:I,7,FALSE)</f>
        <v>4</v>
      </c>
      <c r="Q225" s="4">
        <f>VLOOKUP(C225,CHECKS!A:I,8,FALSE)</f>
        <v>7</v>
      </c>
      <c r="R225">
        <v>223</v>
      </c>
    </row>
    <row r="226" spans="1:18" x14ac:dyDescent="0.2">
      <c r="A226" s="4">
        <v>2250</v>
      </c>
      <c r="B226" s="2" t="s">
        <v>706</v>
      </c>
      <c r="C226" s="4" t="s">
        <v>789</v>
      </c>
      <c r="D226" s="2" t="s">
        <v>806</v>
      </c>
      <c r="E226" s="2" t="s">
        <v>842</v>
      </c>
      <c r="F226" s="2" t="s">
        <v>806</v>
      </c>
      <c r="G226" s="4">
        <f t="shared" si="3"/>
        <v>1</v>
      </c>
      <c r="J226" s="2" t="s">
        <v>880</v>
      </c>
      <c r="L226" s="7">
        <v>48.850177861900001</v>
      </c>
      <c r="M226" s="7">
        <v>2.3840922100699999</v>
      </c>
      <c r="N226" s="4" t="str">
        <f>VLOOKUP(C226,CHECKS!A:I,9,FALSE)</f>
        <v>#E19BDF</v>
      </c>
      <c r="O226" s="4">
        <f>VLOOKUP(C226,CHECKS!A:I,6,FALSE)</f>
        <v>1.41</v>
      </c>
      <c r="P226" s="4">
        <f>VLOOKUP(C226,CHECKS!A:I,7,FALSE)</f>
        <v>4</v>
      </c>
      <c r="Q226" s="4">
        <f>VLOOKUP(C226,CHECKS!A:I,8,FALSE)</f>
        <v>7</v>
      </c>
      <c r="R226">
        <v>224</v>
      </c>
    </row>
    <row r="227" spans="1:18" x14ac:dyDescent="0.2">
      <c r="A227" s="4">
        <v>2260</v>
      </c>
      <c r="B227" s="2" t="s">
        <v>707</v>
      </c>
      <c r="C227" s="4" t="s">
        <v>789</v>
      </c>
      <c r="D227" s="2" t="s">
        <v>98</v>
      </c>
      <c r="E227" s="2" t="s">
        <v>843</v>
      </c>
      <c r="F227" s="2" t="s">
        <v>98</v>
      </c>
      <c r="G227" s="4">
        <f t="shared" si="3"/>
        <v>2</v>
      </c>
      <c r="H227" s="2" t="s">
        <v>49</v>
      </c>
      <c r="J227" s="2" t="s">
        <v>881</v>
      </c>
      <c r="K227" s="2" t="s">
        <v>98</v>
      </c>
      <c r="L227" s="7">
        <v>48.847128721300002</v>
      </c>
      <c r="M227" s="7">
        <v>2.38702524211</v>
      </c>
      <c r="N227" s="4" t="str">
        <f>VLOOKUP(C227,CHECKS!A:I,9,FALSE)</f>
        <v>#E19BDF</v>
      </c>
      <c r="O227" s="4">
        <f>VLOOKUP(C227,CHECKS!A:I,6,FALSE)</f>
        <v>1.41</v>
      </c>
      <c r="P227" s="4">
        <f>VLOOKUP(C227,CHECKS!A:I,7,FALSE)</f>
        <v>4</v>
      </c>
      <c r="Q227" s="4">
        <f>VLOOKUP(C227,CHECKS!A:I,8,FALSE)</f>
        <v>7</v>
      </c>
      <c r="R227">
        <v>225</v>
      </c>
    </row>
    <row r="228" spans="1:18" x14ac:dyDescent="0.2">
      <c r="A228" s="4">
        <v>2270</v>
      </c>
      <c r="B228" s="2" t="s">
        <v>708</v>
      </c>
      <c r="C228" s="4" t="s">
        <v>789</v>
      </c>
      <c r="D228" s="2" t="s">
        <v>807</v>
      </c>
      <c r="E228" s="2" t="s">
        <v>844</v>
      </c>
      <c r="F228" s="2" t="s">
        <v>807</v>
      </c>
      <c r="G228" s="4">
        <f t="shared" si="3"/>
        <v>1</v>
      </c>
      <c r="J228" s="2" t="s">
        <v>882</v>
      </c>
      <c r="L228" s="7">
        <v>48.844408672100002</v>
      </c>
      <c r="M228" s="7">
        <v>2.39007511282</v>
      </c>
      <c r="N228" s="4" t="str">
        <f>VLOOKUP(C228,CHECKS!A:I,9,FALSE)</f>
        <v>#E19BDF</v>
      </c>
      <c r="O228" s="4">
        <f>VLOOKUP(C228,CHECKS!A:I,6,FALSE)</f>
        <v>1.41</v>
      </c>
      <c r="P228" s="4">
        <f>VLOOKUP(C228,CHECKS!A:I,7,FALSE)</f>
        <v>4</v>
      </c>
      <c r="Q228" s="4">
        <f>VLOOKUP(C228,CHECKS!A:I,8,FALSE)</f>
        <v>7</v>
      </c>
      <c r="R228">
        <v>226</v>
      </c>
    </row>
    <row r="229" spans="1:18" x14ac:dyDescent="0.2">
      <c r="A229" s="4">
        <v>2280</v>
      </c>
      <c r="B229" s="2" t="s">
        <v>709</v>
      </c>
      <c r="C229" s="4" t="s">
        <v>789</v>
      </c>
      <c r="D229" s="2" t="s">
        <v>808</v>
      </c>
      <c r="E229" s="2" t="s">
        <v>845</v>
      </c>
      <c r="F229" s="2" t="s">
        <v>808</v>
      </c>
      <c r="G229" s="4">
        <f t="shared" si="3"/>
        <v>2</v>
      </c>
      <c r="H229" s="2" t="s">
        <v>486</v>
      </c>
      <c r="J229" s="2" t="s">
        <v>883</v>
      </c>
      <c r="K229" s="2" t="s">
        <v>808</v>
      </c>
      <c r="L229" s="7">
        <v>48.839445428399998</v>
      </c>
      <c r="M229" s="7">
        <v>2.3961828864500001</v>
      </c>
      <c r="N229" s="4" t="str">
        <f>VLOOKUP(C229,CHECKS!A:I,9,FALSE)</f>
        <v>#E19BDF</v>
      </c>
      <c r="O229" s="4">
        <f>VLOOKUP(C229,CHECKS!A:I,6,FALSE)</f>
        <v>1.41</v>
      </c>
      <c r="P229" s="4">
        <f>VLOOKUP(C229,CHECKS!A:I,7,FALSE)</f>
        <v>4</v>
      </c>
      <c r="Q229" s="4">
        <f>VLOOKUP(C229,CHECKS!A:I,8,FALSE)</f>
        <v>7</v>
      </c>
      <c r="R229">
        <v>227</v>
      </c>
    </row>
    <row r="230" spans="1:18" x14ac:dyDescent="0.2">
      <c r="A230" s="4">
        <v>2290</v>
      </c>
      <c r="B230" s="2" t="s">
        <v>710</v>
      </c>
      <c r="C230" s="4" t="s">
        <v>789</v>
      </c>
      <c r="D230" s="2" t="s">
        <v>809</v>
      </c>
      <c r="E230" s="2" t="s">
        <v>846</v>
      </c>
      <c r="F230" s="2" t="s">
        <v>809</v>
      </c>
      <c r="G230" s="4">
        <f t="shared" si="3"/>
        <v>1</v>
      </c>
      <c r="J230" s="2" t="s">
        <v>884</v>
      </c>
      <c r="L230" s="7">
        <v>48.837117007000003</v>
      </c>
      <c r="M230" s="7">
        <v>2.40233316592</v>
      </c>
      <c r="N230" s="4" t="str">
        <f>VLOOKUP(C230,CHECKS!A:I,9,FALSE)</f>
        <v>#E19BDF</v>
      </c>
      <c r="O230" s="4">
        <f>VLOOKUP(C230,CHECKS!A:I,6,FALSE)</f>
        <v>1.41</v>
      </c>
      <c r="P230" s="4">
        <f>VLOOKUP(C230,CHECKS!A:I,7,FALSE)</f>
        <v>4</v>
      </c>
      <c r="Q230" s="4">
        <f>VLOOKUP(C230,CHECKS!A:I,8,FALSE)</f>
        <v>7</v>
      </c>
      <c r="R230">
        <v>228</v>
      </c>
    </row>
    <row r="231" spans="1:18" x14ac:dyDescent="0.2">
      <c r="A231" s="4">
        <v>2300</v>
      </c>
      <c r="B231" s="2" t="s">
        <v>711</v>
      </c>
      <c r="C231" s="4" t="s">
        <v>789</v>
      </c>
      <c r="D231" s="2" t="s">
        <v>810</v>
      </c>
      <c r="E231" s="2" t="s">
        <v>847</v>
      </c>
      <c r="F231" s="2" t="s">
        <v>810</v>
      </c>
      <c r="G231" s="4">
        <f t="shared" si="3"/>
        <v>2</v>
      </c>
      <c r="I231" s="2" t="s">
        <v>1754</v>
      </c>
      <c r="J231" s="2" t="s">
        <v>885</v>
      </c>
      <c r="L231" s="7">
        <v>48.834785158099997</v>
      </c>
      <c r="M231" s="7">
        <v>2.4053832106300002</v>
      </c>
      <c r="N231" s="4" t="str">
        <f>VLOOKUP(C231,CHECKS!A:I,9,FALSE)</f>
        <v>#E19BDF</v>
      </c>
      <c r="O231" s="4">
        <f>VLOOKUP(C231,CHECKS!A:I,6,FALSE)</f>
        <v>1.41</v>
      </c>
      <c r="P231" s="4">
        <f>VLOOKUP(C231,CHECKS!A:I,7,FALSE)</f>
        <v>4</v>
      </c>
      <c r="Q231" s="4">
        <f>VLOOKUP(C231,CHECKS!A:I,8,FALSE)</f>
        <v>7</v>
      </c>
      <c r="R231">
        <v>229</v>
      </c>
    </row>
    <row r="232" spans="1:18" x14ac:dyDescent="0.2">
      <c r="A232" s="4">
        <v>2310</v>
      </c>
      <c r="B232" s="2" t="s">
        <v>712</v>
      </c>
      <c r="C232" s="4" t="s">
        <v>789</v>
      </c>
      <c r="D232" s="2" t="s">
        <v>811</v>
      </c>
      <c r="E232" s="2" t="s">
        <v>848</v>
      </c>
      <c r="F232" s="2" t="s">
        <v>811</v>
      </c>
      <c r="G232" s="4">
        <f t="shared" si="3"/>
        <v>2</v>
      </c>
      <c r="I232" s="2" t="s">
        <v>1752</v>
      </c>
      <c r="J232" s="2" t="s">
        <v>886</v>
      </c>
      <c r="L232" s="7">
        <v>48.833162929499998</v>
      </c>
      <c r="M232" s="7">
        <v>2.4014480542199999</v>
      </c>
      <c r="N232" s="4" t="str">
        <f>VLOOKUP(C232,CHECKS!A:I,9,FALSE)</f>
        <v>#E19BDF</v>
      </c>
      <c r="O232" s="4">
        <f>VLOOKUP(C232,CHECKS!A:I,6,FALSE)</f>
        <v>1.41</v>
      </c>
      <c r="P232" s="4">
        <f>VLOOKUP(C232,CHECKS!A:I,7,FALSE)</f>
        <v>4</v>
      </c>
      <c r="Q232" s="4">
        <f>VLOOKUP(C232,CHECKS!A:I,8,FALSE)</f>
        <v>7</v>
      </c>
      <c r="R232">
        <v>230</v>
      </c>
    </row>
    <row r="233" spans="1:18" x14ac:dyDescent="0.2">
      <c r="A233" s="4">
        <v>2320</v>
      </c>
      <c r="B233" s="2" t="s">
        <v>713</v>
      </c>
      <c r="C233" s="4" t="s">
        <v>789</v>
      </c>
      <c r="D233" s="2" t="s">
        <v>812</v>
      </c>
      <c r="E233" s="2" t="s">
        <v>849</v>
      </c>
      <c r="F233" s="2" t="s">
        <v>812</v>
      </c>
      <c r="G233" s="4">
        <f t="shared" si="3"/>
        <v>1</v>
      </c>
      <c r="J233" s="2" t="s">
        <v>887</v>
      </c>
      <c r="L233" s="7">
        <v>48.826054996499998</v>
      </c>
      <c r="M233" s="7">
        <v>2.40674222593</v>
      </c>
      <c r="N233" s="4" t="str">
        <f>VLOOKUP(C233,CHECKS!A:I,9,FALSE)</f>
        <v>#E19BDF</v>
      </c>
      <c r="O233" s="4">
        <f>VLOOKUP(C233,CHECKS!A:I,6,FALSE)</f>
        <v>1.41</v>
      </c>
      <c r="P233" s="4">
        <f>VLOOKUP(C233,CHECKS!A:I,7,FALSE)</f>
        <v>4</v>
      </c>
      <c r="Q233" s="4">
        <f>VLOOKUP(C233,CHECKS!A:I,8,FALSE)</f>
        <v>7</v>
      </c>
      <c r="R233">
        <v>231</v>
      </c>
    </row>
    <row r="234" spans="1:18" x14ac:dyDescent="0.2">
      <c r="A234" s="4">
        <v>2330</v>
      </c>
      <c r="B234" s="2" t="s">
        <v>714</v>
      </c>
      <c r="C234" s="4" t="s">
        <v>789</v>
      </c>
      <c r="D234" s="2" t="s">
        <v>813</v>
      </c>
      <c r="E234" s="2" t="s">
        <v>850</v>
      </c>
      <c r="F234" s="2" t="s">
        <v>813</v>
      </c>
      <c r="G234" s="4">
        <f t="shared" si="3"/>
        <v>1</v>
      </c>
      <c r="J234" s="2" t="s">
        <v>888</v>
      </c>
      <c r="L234" s="7">
        <v>48.821595767300003</v>
      </c>
      <c r="M234" s="7">
        <v>2.41373751752</v>
      </c>
      <c r="N234" s="4" t="str">
        <f>VLOOKUP(C234,CHECKS!A:I,9,FALSE)</f>
        <v>#E19BDF</v>
      </c>
      <c r="O234" s="4">
        <f>VLOOKUP(C234,CHECKS!A:I,6,FALSE)</f>
        <v>1.41</v>
      </c>
      <c r="P234" s="4">
        <f>VLOOKUP(C234,CHECKS!A:I,7,FALSE)</f>
        <v>4</v>
      </c>
      <c r="Q234" s="4">
        <f>VLOOKUP(C234,CHECKS!A:I,8,FALSE)</f>
        <v>7</v>
      </c>
      <c r="R234">
        <v>232</v>
      </c>
    </row>
    <row r="235" spans="1:18" x14ac:dyDescent="0.2">
      <c r="A235" s="4">
        <v>2340</v>
      </c>
      <c r="B235" s="2" t="s">
        <v>715</v>
      </c>
      <c r="C235" s="4" t="s">
        <v>789</v>
      </c>
      <c r="D235" s="2" t="s">
        <v>814</v>
      </c>
      <c r="E235" s="2" t="s">
        <v>851</v>
      </c>
      <c r="F235" s="2" t="s">
        <v>814</v>
      </c>
      <c r="G235" s="4">
        <f t="shared" si="3"/>
        <v>1</v>
      </c>
      <c r="J235" s="2" t="s">
        <v>889</v>
      </c>
      <c r="L235" s="7">
        <v>48.814803007000002</v>
      </c>
      <c r="M235" s="7">
        <v>2.4223761428500001</v>
      </c>
      <c r="N235" s="4" t="str">
        <f>VLOOKUP(C235,CHECKS!A:I,9,FALSE)</f>
        <v>#E19BDF</v>
      </c>
      <c r="O235" s="4">
        <f>VLOOKUP(C235,CHECKS!A:I,6,FALSE)</f>
        <v>1.41</v>
      </c>
      <c r="P235" s="4">
        <f>VLOOKUP(C235,CHECKS!A:I,7,FALSE)</f>
        <v>4</v>
      </c>
      <c r="Q235" s="4">
        <f>VLOOKUP(C235,CHECKS!A:I,8,FALSE)</f>
        <v>7</v>
      </c>
      <c r="R235">
        <v>233</v>
      </c>
    </row>
    <row r="236" spans="1:18" x14ac:dyDescent="0.2">
      <c r="A236" s="4">
        <v>2350</v>
      </c>
      <c r="B236" s="2" t="s">
        <v>716</v>
      </c>
      <c r="C236" s="4" t="s">
        <v>789</v>
      </c>
      <c r="D236" s="2" t="s">
        <v>815</v>
      </c>
      <c r="E236" s="2" t="s">
        <v>852</v>
      </c>
      <c r="F236" s="2" t="s">
        <v>815</v>
      </c>
      <c r="G236" s="4">
        <f t="shared" si="3"/>
        <v>1</v>
      </c>
      <c r="J236" s="2" t="s">
        <v>890</v>
      </c>
      <c r="L236" s="7">
        <v>48.8091443609</v>
      </c>
      <c r="M236" s="7">
        <v>2.4345098959299998</v>
      </c>
      <c r="N236" s="4" t="str">
        <f>VLOOKUP(C236,CHECKS!A:I,9,FALSE)</f>
        <v>#E19BDF</v>
      </c>
      <c r="O236" s="4">
        <f>VLOOKUP(C236,CHECKS!A:I,6,FALSE)</f>
        <v>1.41</v>
      </c>
      <c r="P236" s="4">
        <f>VLOOKUP(C236,CHECKS!A:I,7,FALSE)</f>
        <v>4</v>
      </c>
      <c r="Q236" s="4">
        <f>VLOOKUP(C236,CHECKS!A:I,8,FALSE)</f>
        <v>7</v>
      </c>
      <c r="R236">
        <v>234</v>
      </c>
    </row>
    <row r="237" spans="1:18" x14ac:dyDescent="0.2">
      <c r="A237" s="4">
        <v>2360</v>
      </c>
      <c r="B237" s="2" t="s">
        <v>717</v>
      </c>
      <c r="C237" s="4" t="s">
        <v>789</v>
      </c>
      <c r="D237" s="2" t="s">
        <v>816</v>
      </c>
      <c r="E237" s="2" t="s">
        <v>853</v>
      </c>
      <c r="F237" s="2" t="s">
        <v>816</v>
      </c>
      <c r="G237" s="4">
        <f t="shared" si="3"/>
        <v>1</v>
      </c>
      <c r="J237" s="2" t="s">
        <v>891</v>
      </c>
      <c r="L237" s="7">
        <v>48.802637690700003</v>
      </c>
      <c r="M237" s="7">
        <v>2.4469274842400002</v>
      </c>
      <c r="N237" s="4" t="str">
        <f>VLOOKUP(C237,CHECKS!A:I,9,FALSE)</f>
        <v>#E19BDF</v>
      </c>
      <c r="O237" s="4">
        <f>VLOOKUP(C237,CHECKS!A:I,6,FALSE)</f>
        <v>1.41</v>
      </c>
      <c r="P237" s="4">
        <f>VLOOKUP(C237,CHECKS!A:I,7,FALSE)</f>
        <v>4</v>
      </c>
      <c r="Q237" s="4">
        <f>VLOOKUP(C237,CHECKS!A:I,8,FALSE)</f>
        <v>7</v>
      </c>
      <c r="R237">
        <v>235</v>
      </c>
    </row>
    <row r="238" spans="1:18" x14ac:dyDescent="0.2">
      <c r="A238" s="4">
        <v>2370</v>
      </c>
      <c r="B238" s="2" t="s">
        <v>718</v>
      </c>
      <c r="C238" s="4" t="s">
        <v>789</v>
      </c>
      <c r="D238" s="2" t="s">
        <v>817</v>
      </c>
      <c r="E238" s="2" t="s">
        <v>854</v>
      </c>
      <c r="F238" s="2" t="s">
        <v>817</v>
      </c>
      <c r="G238" s="4">
        <f t="shared" si="3"/>
        <v>1</v>
      </c>
      <c r="J238" s="2" t="s">
        <v>892</v>
      </c>
      <c r="L238" s="7">
        <v>48.796740766600003</v>
      </c>
      <c r="M238" s="7">
        <v>2.4494331756899999</v>
      </c>
      <c r="N238" s="4" t="str">
        <f>VLOOKUP(C238,CHECKS!A:I,9,FALSE)</f>
        <v>#E19BDF</v>
      </c>
      <c r="O238" s="4">
        <f>VLOOKUP(C238,CHECKS!A:I,6,FALSE)</f>
        <v>1.41</v>
      </c>
      <c r="P238" s="4">
        <f>VLOOKUP(C238,CHECKS!A:I,7,FALSE)</f>
        <v>4</v>
      </c>
      <c r="Q238" s="4">
        <f>VLOOKUP(C238,CHECKS!A:I,8,FALSE)</f>
        <v>7</v>
      </c>
      <c r="R238">
        <v>236</v>
      </c>
    </row>
    <row r="239" spans="1:18" x14ac:dyDescent="0.2">
      <c r="A239" s="4">
        <v>2380</v>
      </c>
      <c r="B239" s="2" t="s">
        <v>719</v>
      </c>
      <c r="C239" s="4" t="s">
        <v>789</v>
      </c>
      <c r="D239" s="2" t="s">
        <v>818</v>
      </c>
      <c r="E239" s="2" t="s">
        <v>855</v>
      </c>
      <c r="F239" s="2" t="s">
        <v>818</v>
      </c>
      <c r="G239" s="4">
        <f t="shared" si="3"/>
        <v>1</v>
      </c>
      <c r="J239" s="2" t="s">
        <v>893</v>
      </c>
      <c r="L239" s="7">
        <v>48.7899783103</v>
      </c>
      <c r="M239" s="7">
        <v>2.4504531779200001</v>
      </c>
      <c r="N239" s="4" t="str">
        <f>VLOOKUP(C239,CHECKS!A:I,9,FALSE)</f>
        <v>#E19BDF</v>
      </c>
      <c r="O239" s="4">
        <f>VLOOKUP(C239,CHECKS!A:I,6,FALSE)</f>
        <v>1.41</v>
      </c>
      <c r="P239" s="4">
        <f>VLOOKUP(C239,CHECKS!A:I,7,FALSE)</f>
        <v>4</v>
      </c>
      <c r="Q239" s="4">
        <f>VLOOKUP(C239,CHECKS!A:I,8,FALSE)</f>
        <v>7</v>
      </c>
      <c r="R239">
        <v>237</v>
      </c>
    </row>
    <row r="240" spans="1:18" x14ac:dyDescent="0.2">
      <c r="A240" s="4">
        <v>2390</v>
      </c>
      <c r="B240" s="2" t="s">
        <v>720</v>
      </c>
      <c r="C240" s="4" t="s">
        <v>789</v>
      </c>
      <c r="D240" s="2" t="s">
        <v>819</v>
      </c>
      <c r="E240" s="2" t="s">
        <v>856</v>
      </c>
      <c r="F240" s="2" t="s">
        <v>819</v>
      </c>
      <c r="G240" s="4">
        <f t="shared" si="3"/>
        <v>1</v>
      </c>
      <c r="J240" s="2" t="s">
        <v>894</v>
      </c>
      <c r="L240" s="7">
        <v>48.779905317000001</v>
      </c>
      <c r="M240" s="7">
        <v>2.4593683962599999</v>
      </c>
      <c r="N240" s="4" t="str">
        <f>VLOOKUP(C240,CHECKS!A:I,9,FALSE)</f>
        <v>#E19BDF</v>
      </c>
      <c r="O240" s="4">
        <f>VLOOKUP(C240,CHECKS!A:I,6,FALSE)</f>
        <v>1.41</v>
      </c>
      <c r="P240" s="4">
        <f>VLOOKUP(C240,CHECKS!A:I,7,FALSE)</f>
        <v>4</v>
      </c>
      <c r="Q240" s="4">
        <f>VLOOKUP(C240,CHECKS!A:I,8,FALSE)</f>
        <v>7</v>
      </c>
      <c r="R240">
        <v>238</v>
      </c>
    </row>
    <row r="241" spans="1:18" x14ac:dyDescent="0.2">
      <c r="A241" s="4">
        <v>2400</v>
      </c>
      <c r="B241" s="2" t="s">
        <v>721</v>
      </c>
      <c r="C241" s="4" t="s">
        <v>789</v>
      </c>
      <c r="D241" s="2" t="s">
        <v>820</v>
      </c>
      <c r="E241" s="2" t="s">
        <v>720</v>
      </c>
      <c r="F241" s="2" t="s">
        <v>820</v>
      </c>
      <c r="G241" s="4">
        <f t="shared" si="3"/>
        <v>1</v>
      </c>
      <c r="J241" s="2" t="s">
        <v>819</v>
      </c>
      <c r="L241" s="7">
        <v>48.768715125299998</v>
      </c>
      <c r="M241" s="7">
        <v>2.4645649932100002</v>
      </c>
      <c r="N241" s="4" t="str">
        <f>VLOOKUP(C241,CHECKS!A:I,9,FALSE)</f>
        <v>#E19BDF</v>
      </c>
      <c r="O241" s="4">
        <f>VLOOKUP(C241,CHECKS!A:I,6,FALSE)</f>
        <v>1.41</v>
      </c>
      <c r="P241" s="4">
        <f>VLOOKUP(C241,CHECKS!A:I,7,FALSE)</f>
        <v>4</v>
      </c>
      <c r="Q241" s="4">
        <f>VLOOKUP(C241,CHECKS!A:I,8,FALSE)</f>
        <v>7</v>
      </c>
      <c r="R241">
        <v>239</v>
      </c>
    </row>
    <row r="242" spans="1:18" x14ac:dyDescent="0.2">
      <c r="A242" s="4">
        <v>2410</v>
      </c>
      <c r="B242" s="2" t="s">
        <v>722</v>
      </c>
      <c r="C242" s="4" t="s">
        <v>904</v>
      </c>
      <c r="D242" s="2" t="s">
        <v>895</v>
      </c>
      <c r="E242" s="2" t="s">
        <v>723</v>
      </c>
      <c r="F242" s="2" t="s">
        <v>895</v>
      </c>
      <c r="G242" s="4">
        <f t="shared" si="3"/>
        <v>1</v>
      </c>
      <c r="I242" s="2" t="s">
        <v>1679</v>
      </c>
      <c r="J242" s="2" t="s">
        <v>896</v>
      </c>
      <c r="L242" s="7">
        <v>48.829674843799999</v>
      </c>
      <c r="M242" s="7">
        <v>2.2307995913199998</v>
      </c>
      <c r="N242" s="4" t="str">
        <f>VLOOKUP(C242,CHECKS!A:I,9,FALSE)</f>
        <v>#B6BD00</v>
      </c>
      <c r="O242" s="4">
        <f>VLOOKUP(C242,CHECKS!A:I,6,FALSE)</f>
        <v>1.44</v>
      </c>
      <c r="P242" s="4">
        <f>VLOOKUP(C242,CHECKS!A:I,7,FALSE)</f>
        <v>4</v>
      </c>
      <c r="Q242" s="4">
        <f>VLOOKUP(C242,CHECKS!A:I,8,FALSE)</f>
        <v>7</v>
      </c>
      <c r="R242">
        <v>240</v>
      </c>
    </row>
    <row r="243" spans="1:18" x14ac:dyDescent="0.2">
      <c r="A243" s="4">
        <v>2420</v>
      </c>
      <c r="B243" s="2" t="s">
        <v>723</v>
      </c>
      <c r="C243" s="4" t="s">
        <v>904</v>
      </c>
      <c r="D243" s="2" t="s">
        <v>896</v>
      </c>
      <c r="E243" s="2" t="s">
        <v>922</v>
      </c>
      <c r="F243" s="2" t="s">
        <v>896</v>
      </c>
      <c r="G243" s="4">
        <f t="shared" si="3"/>
        <v>1</v>
      </c>
      <c r="J243" s="2" t="s">
        <v>1105</v>
      </c>
      <c r="L243" s="7">
        <v>48.832110560099999</v>
      </c>
      <c r="M243" s="7">
        <v>2.23863934858</v>
      </c>
      <c r="N243" s="4" t="str">
        <f>VLOOKUP(C243,CHECKS!A:I,9,FALSE)</f>
        <v>#B6BD00</v>
      </c>
      <c r="O243" s="4">
        <f>VLOOKUP(C243,CHECKS!A:I,6,FALSE)</f>
        <v>1.44</v>
      </c>
      <c r="P243" s="4">
        <f>VLOOKUP(C243,CHECKS!A:I,7,FALSE)</f>
        <v>4</v>
      </c>
      <c r="Q243" s="4">
        <f>VLOOKUP(C243,CHECKS!A:I,8,FALSE)</f>
        <v>7</v>
      </c>
      <c r="R243">
        <v>241</v>
      </c>
    </row>
    <row r="244" spans="1:18" x14ac:dyDescent="0.2">
      <c r="A244" s="4">
        <v>2430</v>
      </c>
      <c r="B244" s="2" t="s">
        <v>724</v>
      </c>
      <c r="C244" s="4" t="s">
        <v>904</v>
      </c>
      <c r="D244" s="2" t="s">
        <v>897</v>
      </c>
      <c r="E244" s="2" t="s">
        <v>923</v>
      </c>
      <c r="F244" s="2" t="s">
        <v>897</v>
      </c>
      <c r="G244" s="4">
        <f t="shared" si="3"/>
        <v>1</v>
      </c>
      <c r="J244" s="2" t="s">
        <v>1106</v>
      </c>
      <c r="L244" s="7">
        <v>48.833708849099999</v>
      </c>
      <c r="M244" s="7">
        <v>2.2438405923800002</v>
      </c>
      <c r="N244" s="4" t="str">
        <f>VLOOKUP(C244,CHECKS!A:I,9,FALSE)</f>
        <v>#B6BD00</v>
      </c>
      <c r="O244" s="4">
        <f>VLOOKUP(C244,CHECKS!A:I,6,FALSE)</f>
        <v>1.44</v>
      </c>
      <c r="P244" s="4">
        <f>VLOOKUP(C244,CHECKS!A:I,7,FALSE)</f>
        <v>4</v>
      </c>
      <c r="Q244" s="4">
        <f>VLOOKUP(C244,CHECKS!A:I,8,FALSE)</f>
        <v>7</v>
      </c>
      <c r="R244">
        <v>242</v>
      </c>
    </row>
    <row r="245" spans="1:18" x14ac:dyDescent="0.2">
      <c r="A245" s="4">
        <v>2440</v>
      </c>
      <c r="B245" s="2" t="s">
        <v>725</v>
      </c>
      <c r="C245" s="4" t="s">
        <v>904</v>
      </c>
      <c r="D245" s="2" t="s">
        <v>898</v>
      </c>
      <c r="E245" s="2" t="s">
        <v>924</v>
      </c>
      <c r="F245" s="2" t="s">
        <v>898</v>
      </c>
      <c r="G245" s="4">
        <f t="shared" si="3"/>
        <v>1</v>
      </c>
      <c r="J245" s="2" t="s">
        <v>1107</v>
      </c>
      <c r="L245" s="7">
        <v>48.837961213500002</v>
      </c>
      <c r="M245" s="7">
        <v>2.2571222298500002</v>
      </c>
      <c r="N245" s="4" t="str">
        <f>VLOOKUP(C245,CHECKS!A:I,9,FALSE)</f>
        <v>#B6BD00</v>
      </c>
      <c r="O245" s="4">
        <f>VLOOKUP(C245,CHECKS!A:I,6,FALSE)</f>
        <v>1.44</v>
      </c>
      <c r="P245" s="4">
        <f>VLOOKUP(C245,CHECKS!A:I,7,FALSE)</f>
        <v>4</v>
      </c>
      <c r="Q245" s="4">
        <f>VLOOKUP(C245,CHECKS!A:I,8,FALSE)</f>
        <v>7</v>
      </c>
      <c r="R245">
        <v>243</v>
      </c>
    </row>
    <row r="246" spans="1:18" x14ac:dyDescent="0.2">
      <c r="A246" s="4">
        <v>2450</v>
      </c>
      <c r="B246" s="2" t="s">
        <v>726</v>
      </c>
      <c r="C246" s="4" t="s">
        <v>904</v>
      </c>
      <c r="D246" s="2" t="s">
        <v>899</v>
      </c>
      <c r="E246" s="2" t="s">
        <v>925</v>
      </c>
      <c r="F246" s="2" t="s">
        <v>899</v>
      </c>
      <c r="G246" s="4">
        <f t="shared" si="3"/>
        <v>1</v>
      </c>
      <c r="J246" s="2" t="s">
        <v>1108</v>
      </c>
      <c r="L246" s="7">
        <v>48.842938695900003</v>
      </c>
      <c r="M246" s="7">
        <v>2.2600329022099999</v>
      </c>
      <c r="N246" s="4" t="str">
        <f>VLOOKUP(C246,CHECKS!A:I,9,FALSE)</f>
        <v>#B6BD00</v>
      </c>
      <c r="O246" s="4">
        <f>VLOOKUP(C246,CHECKS!A:I,6,FALSE)</f>
        <v>1.44</v>
      </c>
      <c r="P246" s="4">
        <f>VLOOKUP(C246,CHECKS!A:I,7,FALSE)</f>
        <v>4</v>
      </c>
      <c r="Q246" s="4">
        <f>VLOOKUP(C246,CHECKS!A:I,8,FALSE)</f>
        <v>7</v>
      </c>
      <c r="R246">
        <v>244</v>
      </c>
    </row>
    <row r="247" spans="1:18" x14ac:dyDescent="0.2">
      <c r="A247" s="4">
        <v>2460</v>
      </c>
      <c r="B247" s="2" t="s">
        <v>727</v>
      </c>
      <c r="C247" s="4" t="s">
        <v>904</v>
      </c>
      <c r="D247" s="2" t="s">
        <v>900</v>
      </c>
      <c r="E247" s="2" t="s">
        <v>926</v>
      </c>
      <c r="F247" s="2" t="s">
        <v>900</v>
      </c>
      <c r="G247" s="4">
        <f t="shared" si="3"/>
        <v>2</v>
      </c>
      <c r="H247" s="2" t="s">
        <v>764</v>
      </c>
      <c r="J247" s="2" t="s">
        <v>1109</v>
      </c>
      <c r="K247" s="2" t="s">
        <v>900</v>
      </c>
      <c r="L247" s="7">
        <v>48.8450581723</v>
      </c>
      <c r="M247" s="7">
        <v>2.26174512496</v>
      </c>
      <c r="N247" s="4" t="str">
        <f>VLOOKUP(C247,CHECKS!A:I,9,FALSE)</f>
        <v>#B6BD00</v>
      </c>
      <c r="O247" s="4">
        <f>VLOOKUP(C247,CHECKS!A:I,6,FALSE)</f>
        <v>1.44</v>
      </c>
      <c r="P247" s="4">
        <f>VLOOKUP(C247,CHECKS!A:I,7,FALSE)</f>
        <v>4</v>
      </c>
      <c r="Q247" s="4">
        <f>VLOOKUP(C247,CHECKS!A:I,8,FALSE)</f>
        <v>7</v>
      </c>
      <c r="R247">
        <v>245</v>
      </c>
    </row>
    <row r="248" spans="1:18" x14ac:dyDescent="0.2">
      <c r="A248" s="4">
        <v>2470</v>
      </c>
      <c r="B248" s="2" t="s">
        <v>728</v>
      </c>
      <c r="C248" s="4" t="s">
        <v>904</v>
      </c>
      <c r="D248" s="2" t="s">
        <v>901</v>
      </c>
      <c r="E248" s="2" t="s">
        <v>927</v>
      </c>
      <c r="F248" s="2" t="s">
        <v>901</v>
      </c>
      <c r="G248" s="4">
        <f t="shared" si="3"/>
        <v>2</v>
      </c>
      <c r="H248" s="2" t="s">
        <v>762</v>
      </c>
      <c r="J248" s="2" t="s">
        <v>1110</v>
      </c>
      <c r="K248" s="2" t="s">
        <v>901</v>
      </c>
      <c r="L248" s="7">
        <v>48.847895650200002</v>
      </c>
      <c r="M248" s="7">
        <v>2.26408203075</v>
      </c>
      <c r="N248" s="4" t="str">
        <f>VLOOKUP(C248,CHECKS!A:I,9,FALSE)</f>
        <v>#B6BD00</v>
      </c>
      <c r="O248" s="4">
        <f>VLOOKUP(C248,CHECKS!A:I,6,FALSE)</f>
        <v>1.44</v>
      </c>
      <c r="P248" s="4">
        <f>VLOOKUP(C248,CHECKS!A:I,7,FALSE)</f>
        <v>4</v>
      </c>
      <c r="Q248" s="4">
        <f>VLOOKUP(C248,CHECKS!A:I,8,FALSE)</f>
        <v>7</v>
      </c>
      <c r="R248">
        <v>246</v>
      </c>
    </row>
    <row r="249" spans="1:18" x14ac:dyDescent="0.2">
      <c r="A249" s="4">
        <v>2480</v>
      </c>
      <c r="B249" s="2" t="s">
        <v>729</v>
      </c>
      <c r="C249" s="4" t="s">
        <v>904</v>
      </c>
      <c r="D249" s="2" t="s">
        <v>902</v>
      </c>
      <c r="E249" s="2" t="s">
        <v>928</v>
      </c>
      <c r="F249" s="2" t="s">
        <v>902</v>
      </c>
      <c r="G249" s="4">
        <f t="shared" si="3"/>
        <v>1</v>
      </c>
      <c r="J249" s="2" t="s">
        <v>1111</v>
      </c>
      <c r="L249" s="7">
        <v>48.8525040906</v>
      </c>
      <c r="M249" s="7">
        <v>2.2681767494399998</v>
      </c>
      <c r="N249" s="4" t="str">
        <f>VLOOKUP(C249,CHECKS!A:I,9,FALSE)</f>
        <v>#B6BD00</v>
      </c>
      <c r="O249" s="4">
        <f>VLOOKUP(C249,CHECKS!A:I,6,FALSE)</f>
        <v>1.44</v>
      </c>
      <c r="P249" s="4">
        <f>VLOOKUP(C249,CHECKS!A:I,7,FALSE)</f>
        <v>4</v>
      </c>
      <c r="Q249" s="4">
        <f>VLOOKUP(C249,CHECKS!A:I,8,FALSE)</f>
        <v>7</v>
      </c>
      <c r="R249">
        <v>247</v>
      </c>
    </row>
    <row r="250" spans="1:18" x14ac:dyDescent="0.2">
      <c r="A250" s="4">
        <v>2490</v>
      </c>
      <c r="B250" s="2" t="s">
        <v>730</v>
      </c>
      <c r="C250" s="4" t="s">
        <v>904</v>
      </c>
      <c r="D250" s="2" t="s">
        <v>903</v>
      </c>
      <c r="E250" s="2" t="s">
        <v>929</v>
      </c>
      <c r="F250" s="2" t="s">
        <v>903</v>
      </c>
      <c r="G250" s="4">
        <f t="shared" si="3"/>
        <v>1</v>
      </c>
      <c r="J250" s="2" t="s">
        <v>1112</v>
      </c>
      <c r="L250" s="7">
        <v>48.855485050399999</v>
      </c>
      <c r="M250" s="7">
        <v>2.2701091389400001</v>
      </c>
      <c r="N250" s="4" t="str">
        <f>VLOOKUP(C250,CHECKS!A:I,9,FALSE)</f>
        <v>#B6BD00</v>
      </c>
      <c r="O250" s="4">
        <f>VLOOKUP(C250,CHECKS!A:I,6,FALSE)</f>
        <v>1.44</v>
      </c>
      <c r="P250" s="4">
        <f>VLOOKUP(C250,CHECKS!A:I,7,FALSE)</f>
        <v>4</v>
      </c>
      <c r="Q250" s="4">
        <f>VLOOKUP(C250,CHECKS!A:I,8,FALSE)</f>
        <v>7</v>
      </c>
      <c r="R250">
        <v>248</v>
      </c>
    </row>
    <row r="251" spans="1:18" x14ac:dyDescent="0.2">
      <c r="A251" s="4">
        <v>2500</v>
      </c>
      <c r="B251" s="2" t="s">
        <v>731</v>
      </c>
      <c r="C251" s="4" t="s">
        <v>904</v>
      </c>
      <c r="D251" s="2" t="s">
        <v>905</v>
      </c>
      <c r="E251" s="2" t="s">
        <v>930</v>
      </c>
      <c r="F251" s="2" t="s">
        <v>905</v>
      </c>
      <c r="G251" s="4">
        <f t="shared" si="3"/>
        <v>1</v>
      </c>
      <c r="J251" s="2" t="s">
        <v>1113</v>
      </c>
      <c r="L251" s="7">
        <v>48.858046056299997</v>
      </c>
      <c r="M251" s="7">
        <v>2.27415463109</v>
      </c>
      <c r="N251" s="4" t="str">
        <f>VLOOKUP(C251,CHECKS!A:I,9,FALSE)</f>
        <v>#B6BD00</v>
      </c>
      <c r="O251" s="4">
        <f>VLOOKUP(C251,CHECKS!A:I,6,FALSE)</f>
        <v>1.44</v>
      </c>
      <c r="P251" s="4">
        <f>VLOOKUP(C251,CHECKS!A:I,7,FALSE)</f>
        <v>4</v>
      </c>
      <c r="Q251" s="4">
        <f>VLOOKUP(C251,CHECKS!A:I,8,FALSE)</f>
        <v>7</v>
      </c>
      <c r="R251">
        <v>249</v>
      </c>
    </row>
    <row r="252" spans="1:18" x14ac:dyDescent="0.2">
      <c r="A252" s="4">
        <v>2510</v>
      </c>
      <c r="B252" s="2" t="s">
        <v>732</v>
      </c>
      <c r="C252" s="4" t="s">
        <v>904</v>
      </c>
      <c r="D252" s="2" t="s">
        <v>906</v>
      </c>
      <c r="E252" s="2" t="s">
        <v>931</v>
      </c>
      <c r="F252" s="2" t="s">
        <v>906</v>
      </c>
      <c r="G252" s="4">
        <f t="shared" si="3"/>
        <v>1</v>
      </c>
      <c r="J252" s="2" t="s">
        <v>1114</v>
      </c>
      <c r="L252" s="7">
        <v>48.863974445799997</v>
      </c>
      <c r="M252" s="7">
        <v>2.2781125584500002</v>
      </c>
      <c r="N252" s="4" t="str">
        <f>VLOOKUP(C252,CHECKS!A:I,9,FALSE)</f>
        <v>#B6BD00</v>
      </c>
      <c r="O252" s="4">
        <f>VLOOKUP(C252,CHECKS!A:I,6,FALSE)</f>
        <v>1.44</v>
      </c>
      <c r="P252" s="4">
        <f>VLOOKUP(C252,CHECKS!A:I,7,FALSE)</f>
        <v>4</v>
      </c>
      <c r="Q252" s="4">
        <f>VLOOKUP(C252,CHECKS!A:I,8,FALSE)</f>
        <v>7</v>
      </c>
      <c r="R252">
        <v>250</v>
      </c>
    </row>
    <row r="253" spans="1:18" x14ac:dyDescent="0.2">
      <c r="A253" s="4">
        <v>2520</v>
      </c>
      <c r="B253" s="2" t="s">
        <v>733</v>
      </c>
      <c r="C253" s="4" t="s">
        <v>904</v>
      </c>
      <c r="D253" s="2" t="s">
        <v>422</v>
      </c>
      <c r="E253" s="2" t="s">
        <v>932</v>
      </c>
      <c r="F253" s="2" t="s">
        <v>422</v>
      </c>
      <c r="G253" s="4">
        <f t="shared" si="3"/>
        <v>2</v>
      </c>
      <c r="H253" s="2" t="s">
        <v>444</v>
      </c>
      <c r="J253" s="2" t="s">
        <v>1115</v>
      </c>
      <c r="K253" s="2" t="s">
        <v>422</v>
      </c>
      <c r="L253" s="7">
        <v>48.863065020199997</v>
      </c>
      <c r="M253" s="7">
        <v>2.2862431706900002</v>
      </c>
      <c r="N253" s="4" t="str">
        <f>VLOOKUP(C253,CHECKS!A:I,9,FALSE)</f>
        <v>#B6BD00</v>
      </c>
      <c r="O253" s="4">
        <f>VLOOKUP(C253,CHECKS!A:I,6,FALSE)</f>
        <v>1.44</v>
      </c>
      <c r="P253" s="4">
        <f>VLOOKUP(C253,CHECKS!A:I,7,FALSE)</f>
        <v>4</v>
      </c>
      <c r="Q253" s="4">
        <f>VLOOKUP(C253,CHECKS!A:I,8,FALSE)</f>
        <v>7</v>
      </c>
      <c r="R253">
        <v>251</v>
      </c>
    </row>
    <row r="254" spans="1:18" x14ac:dyDescent="0.2">
      <c r="A254" s="4">
        <v>2530</v>
      </c>
      <c r="B254" s="2" t="s">
        <v>734</v>
      </c>
      <c r="C254" s="4" t="s">
        <v>904</v>
      </c>
      <c r="D254" s="2" t="s">
        <v>907</v>
      </c>
      <c r="E254" s="2" t="s">
        <v>933</v>
      </c>
      <c r="F254" s="2" t="s">
        <v>907</v>
      </c>
      <c r="G254" s="4">
        <f t="shared" si="3"/>
        <v>1</v>
      </c>
      <c r="J254" s="2" t="s">
        <v>1116</v>
      </c>
      <c r="L254" s="7">
        <v>48.864794065799998</v>
      </c>
      <c r="M254" s="7">
        <v>2.2941620181100002</v>
      </c>
      <c r="N254" s="4" t="str">
        <f>VLOOKUP(C254,CHECKS!A:I,9,FALSE)</f>
        <v>#B6BD00</v>
      </c>
      <c r="O254" s="4">
        <f>VLOOKUP(C254,CHECKS!A:I,6,FALSE)</f>
        <v>1.44</v>
      </c>
      <c r="P254" s="4">
        <f>VLOOKUP(C254,CHECKS!A:I,7,FALSE)</f>
        <v>4</v>
      </c>
      <c r="Q254" s="4">
        <f>VLOOKUP(C254,CHECKS!A:I,8,FALSE)</f>
        <v>7</v>
      </c>
      <c r="R254">
        <v>252</v>
      </c>
    </row>
    <row r="255" spans="1:18" x14ac:dyDescent="0.2">
      <c r="A255" s="4">
        <v>2540</v>
      </c>
      <c r="B255" s="2" t="s">
        <v>735</v>
      </c>
      <c r="C255" s="4" t="s">
        <v>904</v>
      </c>
      <c r="D255" s="2" t="s">
        <v>908</v>
      </c>
      <c r="E255" s="2" t="s">
        <v>934</v>
      </c>
      <c r="F255" s="2" t="s">
        <v>908</v>
      </c>
      <c r="G255" s="4">
        <f t="shared" si="3"/>
        <v>1</v>
      </c>
      <c r="J255" s="2" t="s">
        <v>1117</v>
      </c>
      <c r="L255" s="7">
        <v>48.864766844999998</v>
      </c>
      <c r="M255" s="7">
        <v>2.3009910035000001</v>
      </c>
      <c r="N255" s="4" t="str">
        <f>VLOOKUP(C255,CHECKS!A:I,9,FALSE)</f>
        <v>#B6BD00</v>
      </c>
      <c r="O255" s="4">
        <f>VLOOKUP(C255,CHECKS!A:I,6,FALSE)</f>
        <v>1.44</v>
      </c>
      <c r="P255" s="4">
        <f>VLOOKUP(C255,CHECKS!A:I,7,FALSE)</f>
        <v>4</v>
      </c>
      <c r="Q255" s="4">
        <f>VLOOKUP(C255,CHECKS!A:I,8,FALSE)</f>
        <v>7</v>
      </c>
      <c r="R255">
        <v>253</v>
      </c>
    </row>
    <row r="256" spans="1:18" x14ac:dyDescent="0.2">
      <c r="A256" s="4">
        <v>2550</v>
      </c>
      <c r="B256" s="2" t="s">
        <v>736</v>
      </c>
      <c r="C256" s="4" t="s">
        <v>904</v>
      </c>
      <c r="D256" s="2" t="s">
        <v>16</v>
      </c>
      <c r="E256" s="2" t="s">
        <v>935</v>
      </c>
      <c r="F256" s="2" t="s">
        <v>16</v>
      </c>
      <c r="G256" s="4">
        <f t="shared" si="3"/>
        <v>2</v>
      </c>
      <c r="H256" s="2" t="s">
        <v>38</v>
      </c>
      <c r="J256" s="2" t="s">
        <v>1118</v>
      </c>
      <c r="K256" s="2" t="s">
        <v>16</v>
      </c>
      <c r="L256" s="7">
        <v>48.868699847400002</v>
      </c>
      <c r="M256" s="7">
        <v>2.3095051573399998</v>
      </c>
      <c r="N256" s="4" t="str">
        <f>VLOOKUP(C256,CHECKS!A:I,9,FALSE)</f>
        <v>#B6BD00</v>
      </c>
      <c r="O256" s="4">
        <f>VLOOKUP(C256,CHECKS!A:I,6,FALSE)</f>
        <v>1.44</v>
      </c>
      <c r="P256" s="4">
        <f>VLOOKUP(C256,CHECKS!A:I,7,FALSE)</f>
        <v>4</v>
      </c>
      <c r="Q256" s="4">
        <f>VLOOKUP(C256,CHECKS!A:I,8,FALSE)</f>
        <v>7</v>
      </c>
      <c r="R256">
        <v>254</v>
      </c>
    </row>
    <row r="257" spans="1:18" x14ac:dyDescent="0.2">
      <c r="A257" s="4">
        <v>2560</v>
      </c>
      <c r="B257" s="2" t="s">
        <v>737</v>
      </c>
      <c r="C257" s="4" t="s">
        <v>904</v>
      </c>
      <c r="D257" s="2" t="s">
        <v>909</v>
      </c>
      <c r="E257" s="2" t="s">
        <v>936</v>
      </c>
      <c r="F257" s="2" t="s">
        <v>909</v>
      </c>
      <c r="G257" s="4">
        <f t="shared" si="3"/>
        <v>1</v>
      </c>
      <c r="J257" s="2" t="s">
        <v>1119</v>
      </c>
      <c r="L257" s="7">
        <v>48.872422383699998</v>
      </c>
      <c r="M257" s="7">
        <v>2.3100383446200001</v>
      </c>
      <c r="N257" s="4" t="str">
        <f>VLOOKUP(C257,CHECKS!A:I,9,FALSE)</f>
        <v>#B6BD00</v>
      </c>
      <c r="O257" s="4">
        <f>VLOOKUP(C257,CHECKS!A:I,6,FALSE)</f>
        <v>1.44</v>
      </c>
      <c r="P257" s="4">
        <f>VLOOKUP(C257,CHECKS!A:I,7,FALSE)</f>
        <v>4</v>
      </c>
      <c r="Q257" s="4">
        <f>VLOOKUP(C257,CHECKS!A:I,8,FALSE)</f>
        <v>7</v>
      </c>
      <c r="R257">
        <v>255</v>
      </c>
    </row>
    <row r="258" spans="1:18" x14ac:dyDescent="0.2">
      <c r="A258" s="4">
        <v>2570</v>
      </c>
      <c r="B258" s="2" t="s">
        <v>738</v>
      </c>
      <c r="C258" s="4" t="s">
        <v>904</v>
      </c>
      <c r="D258" s="2" t="s">
        <v>910</v>
      </c>
      <c r="E258" s="2" t="s">
        <v>937</v>
      </c>
      <c r="F258" s="2" t="s">
        <v>910</v>
      </c>
      <c r="G258" s="4">
        <f t="shared" ref="G258:G321" si="4">COUNTIF(F:F,F258)</f>
        <v>2</v>
      </c>
      <c r="H258" s="2" t="s">
        <v>1027</v>
      </c>
      <c r="J258" s="2" t="s">
        <v>1120</v>
      </c>
      <c r="K258" s="2" t="s">
        <v>910</v>
      </c>
      <c r="L258" s="7">
        <v>48.873709527700001</v>
      </c>
      <c r="M258" s="7">
        <v>2.3146063216199999</v>
      </c>
      <c r="N258" s="4" t="str">
        <f>VLOOKUP(C258,CHECKS!A:I,9,FALSE)</f>
        <v>#B6BD00</v>
      </c>
      <c r="O258" s="4">
        <f>VLOOKUP(C258,CHECKS!A:I,6,FALSE)</f>
        <v>1.44</v>
      </c>
      <c r="P258" s="4">
        <f>VLOOKUP(C258,CHECKS!A:I,7,FALSE)</f>
        <v>4</v>
      </c>
      <c r="Q258" s="4">
        <f>VLOOKUP(C258,CHECKS!A:I,8,FALSE)</f>
        <v>7</v>
      </c>
      <c r="R258">
        <v>256</v>
      </c>
    </row>
    <row r="259" spans="1:18" x14ac:dyDescent="0.2">
      <c r="A259" s="4">
        <v>2580</v>
      </c>
      <c r="B259" s="2" t="s">
        <v>739</v>
      </c>
      <c r="C259" s="4" t="s">
        <v>904</v>
      </c>
      <c r="D259" s="2" t="s">
        <v>236</v>
      </c>
      <c r="E259" s="2" t="s">
        <v>938</v>
      </c>
      <c r="F259" s="2" t="s">
        <v>236</v>
      </c>
      <c r="G259" s="4">
        <f t="shared" si="4"/>
        <v>2</v>
      </c>
      <c r="H259" s="2" t="s">
        <v>212</v>
      </c>
      <c r="J259" s="2" t="s">
        <v>1121</v>
      </c>
      <c r="K259" s="2" t="s">
        <v>236</v>
      </c>
      <c r="L259" s="7">
        <v>48.873713406699999</v>
      </c>
      <c r="M259" s="7">
        <v>2.32769540963</v>
      </c>
      <c r="N259" s="4" t="str">
        <f>VLOOKUP(C259,CHECKS!A:I,9,FALSE)</f>
        <v>#B6BD00</v>
      </c>
      <c r="O259" s="4">
        <f>VLOOKUP(C259,CHECKS!A:I,6,FALSE)</f>
        <v>1.44</v>
      </c>
      <c r="P259" s="4">
        <f>VLOOKUP(C259,CHECKS!A:I,7,FALSE)</f>
        <v>4</v>
      </c>
      <c r="Q259" s="4">
        <f>VLOOKUP(C259,CHECKS!A:I,8,FALSE)</f>
        <v>7</v>
      </c>
      <c r="R259">
        <v>257</v>
      </c>
    </row>
    <row r="260" spans="1:18" x14ac:dyDescent="0.2">
      <c r="A260" s="4">
        <v>2590</v>
      </c>
      <c r="B260" s="2" t="s">
        <v>740</v>
      </c>
      <c r="C260" s="4" t="s">
        <v>904</v>
      </c>
      <c r="D260" s="2" t="s">
        <v>911</v>
      </c>
      <c r="E260" s="2" t="s">
        <v>939</v>
      </c>
      <c r="F260" s="2" t="s">
        <v>911</v>
      </c>
      <c r="G260" s="4">
        <f t="shared" si="4"/>
        <v>1</v>
      </c>
      <c r="H260" s="2" t="s">
        <v>211</v>
      </c>
      <c r="J260" s="2" t="s">
        <v>1122</v>
      </c>
      <c r="K260" s="2" t="s">
        <v>235</v>
      </c>
      <c r="L260" s="7">
        <v>48.874558384700002</v>
      </c>
      <c r="M260" s="7">
        <v>2.3213619281</v>
      </c>
      <c r="N260" s="4" t="str">
        <f>VLOOKUP(C260,CHECKS!A:I,9,FALSE)</f>
        <v>#B6BD00</v>
      </c>
      <c r="O260" s="4">
        <f>VLOOKUP(C260,CHECKS!A:I,6,FALSE)</f>
        <v>1.44</v>
      </c>
      <c r="P260" s="4">
        <f>VLOOKUP(C260,CHECKS!A:I,7,FALSE)</f>
        <v>4</v>
      </c>
      <c r="Q260" s="4">
        <f>VLOOKUP(C260,CHECKS!A:I,8,FALSE)</f>
        <v>7</v>
      </c>
      <c r="R260">
        <v>258</v>
      </c>
    </row>
    <row r="261" spans="1:18" x14ac:dyDescent="0.2">
      <c r="A261" s="4">
        <v>2600</v>
      </c>
      <c r="B261" s="2" t="s">
        <v>741</v>
      </c>
      <c r="C261" s="4" t="s">
        <v>904</v>
      </c>
      <c r="D261" s="2" t="s">
        <v>506</v>
      </c>
      <c r="E261" s="2" t="s">
        <v>940</v>
      </c>
      <c r="F261" s="2" t="s">
        <v>506</v>
      </c>
      <c r="G261" s="4">
        <f t="shared" si="4"/>
        <v>2</v>
      </c>
      <c r="H261" s="2" t="s">
        <v>596</v>
      </c>
      <c r="J261" s="2" t="s">
        <v>1123</v>
      </c>
      <c r="K261" s="2" t="s">
        <v>506</v>
      </c>
      <c r="L261" s="7">
        <v>48.8729376577</v>
      </c>
      <c r="M261" s="7">
        <v>2.3334791318499999</v>
      </c>
      <c r="N261" s="4" t="str">
        <f>VLOOKUP(C261,CHECKS!A:I,9,FALSE)</f>
        <v>#B6BD00</v>
      </c>
      <c r="O261" s="4">
        <f>VLOOKUP(C261,CHECKS!A:I,6,FALSE)</f>
        <v>1.44</v>
      </c>
      <c r="P261" s="4">
        <f>VLOOKUP(C261,CHECKS!A:I,7,FALSE)</f>
        <v>4</v>
      </c>
      <c r="Q261" s="4">
        <f>VLOOKUP(C261,CHECKS!A:I,8,FALSE)</f>
        <v>7</v>
      </c>
      <c r="R261">
        <v>259</v>
      </c>
    </row>
    <row r="262" spans="1:18" x14ac:dyDescent="0.2">
      <c r="A262" s="4">
        <v>2610</v>
      </c>
      <c r="B262" s="2" t="s">
        <v>742</v>
      </c>
      <c r="C262" s="4" t="s">
        <v>904</v>
      </c>
      <c r="D262" s="2" t="s">
        <v>799</v>
      </c>
      <c r="E262" s="2" t="s">
        <v>941</v>
      </c>
      <c r="F262" s="2" t="s">
        <v>799</v>
      </c>
      <c r="G262" s="4">
        <f t="shared" si="4"/>
        <v>2</v>
      </c>
      <c r="H262" s="2" t="s">
        <v>696</v>
      </c>
      <c r="J262" s="2" t="s">
        <v>1124</v>
      </c>
      <c r="K262" s="2" t="s">
        <v>799</v>
      </c>
      <c r="L262" s="7">
        <v>48.872152352599997</v>
      </c>
      <c r="M262" s="7">
        <v>2.3391150392700002</v>
      </c>
      <c r="N262" s="4" t="str">
        <f>VLOOKUP(C262,CHECKS!A:I,9,FALSE)</f>
        <v>#B6BD00</v>
      </c>
      <c r="O262" s="4">
        <f>VLOOKUP(C262,CHECKS!A:I,6,FALSE)</f>
        <v>1.44</v>
      </c>
      <c r="P262" s="4">
        <f>VLOOKUP(C262,CHECKS!A:I,7,FALSE)</f>
        <v>4</v>
      </c>
      <c r="Q262" s="4">
        <f>VLOOKUP(C262,CHECKS!A:I,8,FALSE)</f>
        <v>7</v>
      </c>
      <c r="R262">
        <v>260</v>
      </c>
    </row>
    <row r="263" spans="1:18" x14ac:dyDescent="0.2">
      <c r="A263" s="4">
        <v>2620</v>
      </c>
      <c r="B263" s="2" t="s">
        <v>743</v>
      </c>
      <c r="C263" s="4" t="s">
        <v>904</v>
      </c>
      <c r="D263" s="2" t="s">
        <v>800</v>
      </c>
      <c r="E263" s="2" t="s">
        <v>942</v>
      </c>
      <c r="F263" s="2" t="s">
        <v>800</v>
      </c>
      <c r="G263" s="4">
        <f t="shared" si="4"/>
        <v>2</v>
      </c>
      <c r="J263" s="2" t="s">
        <v>871</v>
      </c>
      <c r="L263" s="7">
        <v>48.871497739399999</v>
      </c>
      <c r="M263" s="7">
        <v>2.3431547730800002</v>
      </c>
      <c r="N263" s="4" t="str">
        <f>VLOOKUP(C263,CHECKS!A:I,9,FALSE)</f>
        <v>#B6BD00</v>
      </c>
      <c r="O263" s="4">
        <f>VLOOKUP(C263,CHECKS!A:I,6,FALSE)</f>
        <v>1.44</v>
      </c>
      <c r="P263" s="4">
        <f>VLOOKUP(C263,CHECKS!A:I,7,FALSE)</f>
        <v>4</v>
      </c>
      <c r="Q263" s="4">
        <f>VLOOKUP(C263,CHECKS!A:I,8,FALSE)</f>
        <v>7</v>
      </c>
      <c r="R263">
        <v>261</v>
      </c>
    </row>
    <row r="264" spans="1:18" x14ac:dyDescent="0.2">
      <c r="A264" s="4">
        <v>2630</v>
      </c>
      <c r="B264" s="2" t="s">
        <v>744</v>
      </c>
      <c r="C264" s="4" t="s">
        <v>904</v>
      </c>
      <c r="D264" s="2" t="s">
        <v>801</v>
      </c>
      <c r="E264" s="2" t="s">
        <v>943</v>
      </c>
      <c r="F264" s="2" t="s">
        <v>801</v>
      </c>
      <c r="G264" s="4">
        <f t="shared" si="4"/>
        <v>2</v>
      </c>
      <c r="J264" s="2" t="s">
        <v>872</v>
      </c>
      <c r="L264" s="7">
        <v>48.8701642009</v>
      </c>
      <c r="M264" s="7">
        <v>2.3504979718599999</v>
      </c>
      <c r="N264" s="4" t="str">
        <f>VLOOKUP(C264,CHECKS!A:I,9,FALSE)</f>
        <v>#B6BD00</v>
      </c>
      <c r="O264" s="4">
        <f>VLOOKUP(C264,CHECKS!A:I,6,FALSE)</f>
        <v>1.44</v>
      </c>
      <c r="P264" s="4">
        <f>VLOOKUP(C264,CHECKS!A:I,7,FALSE)</f>
        <v>4</v>
      </c>
      <c r="Q264" s="4">
        <f>VLOOKUP(C264,CHECKS!A:I,8,FALSE)</f>
        <v>7</v>
      </c>
      <c r="R264">
        <v>262</v>
      </c>
    </row>
    <row r="265" spans="1:18" x14ac:dyDescent="0.2">
      <c r="A265" s="4">
        <v>2640</v>
      </c>
      <c r="B265" s="2" t="s">
        <v>745</v>
      </c>
      <c r="C265" s="4" t="s">
        <v>904</v>
      </c>
      <c r="D265" s="2" t="s">
        <v>313</v>
      </c>
      <c r="E265" s="2" t="s">
        <v>944</v>
      </c>
      <c r="F265" s="2" t="s">
        <v>313</v>
      </c>
      <c r="G265" s="4">
        <f t="shared" si="4"/>
        <v>3</v>
      </c>
      <c r="H265" s="2" t="s">
        <v>1433</v>
      </c>
      <c r="J265" s="2" t="s">
        <v>873</v>
      </c>
      <c r="K265" s="2" t="s">
        <v>1445</v>
      </c>
      <c r="L265" s="7">
        <v>48.869224171699997</v>
      </c>
      <c r="M265" s="7">
        <v>2.3546037907000001</v>
      </c>
      <c r="N265" s="4" t="str">
        <f>VLOOKUP(C265,CHECKS!A:I,9,FALSE)</f>
        <v>#B6BD00</v>
      </c>
      <c r="O265" s="4">
        <f>VLOOKUP(C265,CHECKS!A:I,6,FALSE)</f>
        <v>1.44</v>
      </c>
      <c r="P265" s="4">
        <f>VLOOKUP(C265,CHECKS!A:I,7,FALSE)</f>
        <v>4</v>
      </c>
      <c r="Q265" s="4">
        <f>VLOOKUP(C265,CHECKS!A:I,8,FALSE)</f>
        <v>7</v>
      </c>
      <c r="R265">
        <v>263</v>
      </c>
    </row>
    <row r="266" spans="1:18" x14ac:dyDescent="0.2">
      <c r="A266" s="4">
        <v>2650</v>
      </c>
      <c r="B266" s="2" t="s">
        <v>746</v>
      </c>
      <c r="C266" s="4" t="s">
        <v>904</v>
      </c>
      <c r="D266" s="2" t="s">
        <v>244</v>
      </c>
      <c r="E266" s="2" t="s">
        <v>945</v>
      </c>
      <c r="F266" s="2" t="s">
        <v>244</v>
      </c>
      <c r="G266" s="4">
        <f t="shared" si="4"/>
        <v>5</v>
      </c>
      <c r="H266" s="2" t="s">
        <v>1423</v>
      </c>
      <c r="J266" s="2" t="s">
        <v>1125</v>
      </c>
      <c r="K266" s="2" t="s">
        <v>1443</v>
      </c>
      <c r="L266" s="7">
        <v>48.867111638600001</v>
      </c>
      <c r="M266" s="7">
        <v>2.3642349456499998</v>
      </c>
      <c r="N266" s="4" t="str">
        <f>VLOOKUP(C266,CHECKS!A:I,9,FALSE)</f>
        <v>#B6BD00</v>
      </c>
      <c r="O266" s="4">
        <f>VLOOKUP(C266,CHECKS!A:I,6,FALSE)</f>
        <v>1.44</v>
      </c>
      <c r="P266" s="4">
        <f>VLOOKUP(C266,CHECKS!A:I,7,FALSE)</f>
        <v>4</v>
      </c>
      <c r="Q266" s="4">
        <f>VLOOKUP(C266,CHECKS!A:I,8,FALSE)</f>
        <v>7</v>
      </c>
      <c r="R266">
        <v>264</v>
      </c>
    </row>
    <row r="267" spans="1:18" x14ac:dyDescent="0.2">
      <c r="A267" s="4">
        <v>2660</v>
      </c>
      <c r="B267" s="2" t="s">
        <v>747</v>
      </c>
      <c r="C267" s="4" t="s">
        <v>904</v>
      </c>
      <c r="D267" s="2" t="s">
        <v>411</v>
      </c>
      <c r="E267" s="2" t="s">
        <v>946</v>
      </c>
      <c r="F267" s="2" t="s">
        <v>411</v>
      </c>
      <c r="G267" s="4">
        <f t="shared" si="4"/>
        <v>2</v>
      </c>
      <c r="H267" s="2" t="s">
        <v>391</v>
      </c>
      <c r="J267" s="2" t="s">
        <v>1126</v>
      </c>
      <c r="K267" s="2" t="s">
        <v>411</v>
      </c>
      <c r="L267" s="7">
        <v>48.864727620700002</v>
      </c>
      <c r="M267" s="7">
        <v>2.36849638711</v>
      </c>
      <c r="N267" s="4" t="str">
        <f>VLOOKUP(C267,CHECKS!A:I,9,FALSE)</f>
        <v>#B6BD00</v>
      </c>
      <c r="O267" s="4">
        <f>VLOOKUP(C267,CHECKS!A:I,6,FALSE)</f>
        <v>1.44</v>
      </c>
      <c r="P267" s="4">
        <f>VLOOKUP(C267,CHECKS!A:I,7,FALSE)</f>
        <v>4</v>
      </c>
      <c r="Q267" s="4">
        <f>VLOOKUP(C267,CHECKS!A:I,8,FALSE)</f>
        <v>7</v>
      </c>
      <c r="R267">
        <v>265</v>
      </c>
    </row>
    <row r="268" spans="1:18" x14ac:dyDescent="0.2">
      <c r="A268" s="4">
        <v>2670</v>
      </c>
      <c r="B268" s="2" t="s">
        <v>748</v>
      </c>
      <c r="C268" s="4" t="s">
        <v>904</v>
      </c>
      <c r="D268" s="2" t="s">
        <v>912</v>
      </c>
      <c r="E268" s="2" t="s">
        <v>947</v>
      </c>
      <c r="F268" s="2" t="s">
        <v>912</v>
      </c>
      <c r="G268" s="4">
        <f t="shared" si="4"/>
        <v>1</v>
      </c>
      <c r="J268" s="2" t="s">
        <v>1127</v>
      </c>
      <c r="L268" s="7">
        <v>48.861019259899997</v>
      </c>
      <c r="M268" s="7">
        <v>2.3747334312800001</v>
      </c>
      <c r="N268" s="4" t="str">
        <f>VLOOKUP(C268,CHECKS!A:I,9,FALSE)</f>
        <v>#B6BD00</v>
      </c>
      <c r="O268" s="4">
        <f>VLOOKUP(C268,CHECKS!A:I,6,FALSE)</f>
        <v>1.44</v>
      </c>
      <c r="P268" s="4">
        <f>VLOOKUP(C268,CHECKS!A:I,7,FALSE)</f>
        <v>4</v>
      </c>
      <c r="Q268" s="4">
        <f>VLOOKUP(C268,CHECKS!A:I,8,FALSE)</f>
        <v>7</v>
      </c>
      <c r="R268">
        <v>266</v>
      </c>
    </row>
    <row r="269" spans="1:18" x14ac:dyDescent="0.2">
      <c r="A269" s="4">
        <v>2680</v>
      </c>
      <c r="B269" s="2" t="s">
        <v>749</v>
      </c>
      <c r="C269" s="4" t="s">
        <v>904</v>
      </c>
      <c r="D269" s="2" t="s">
        <v>913</v>
      </c>
      <c r="E269" s="2" t="s">
        <v>948</v>
      </c>
      <c r="F269" s="2" t="s">
        <v>913</v>
      </c>
      <c r="G269" s="4">
        <f t="shared" si="4"/>
        <v>1</v>
      </c>
      <c r="J269" s="2" t="s">
        <v>1128</v>
      </c>
      <c r="L269" s="7">
        <v>48.857453722700001</v>
      </c>
      <c r="M269" s="7">
        <v>2.3807187858600001</v>
      </c>
      <c r="N269" s="4" t="str">
        <f>VLOOKUP(C269,CHECKS!A:I,9,FALSE)</f>
        <v>#B6BD00</v>
      </c>
      <c r="O269" s="4">
        <f>VLOOKUP(C269,CHECKS!A:I,6,FALSE)</f>
        <v>1.44</v>
      </c>
      <c r="P269" s="4">
        <f>VLOOKUP(C269,CHECKS!A:I,7,FALSE)</f>
        <v>4</v>
      </c>
      <c r="Q269" s="4">
        <f>VLOOKUP(C269,CHECKS!A:I,8,FALSE)</f>
        <v>7</v>
      </c>
      <c r="R269">
        <v>267</v>
      </c>
    </row>
    <row r="270" spans="1:18" x14ac:dyDescent="0.2">
      <c r="A270" s="4">
        <v>2690</v>
      </c>
      <c r="B270" s="2" t="s">
        <v>750</v>
      </c>
      <c r="C270" s="4" t="s">
        <v>904</v>
      </c>
      <c r="D270" s="2" t="s">
        <v>914</v>
      </c>
      <c r="E270" s="2" t="s">
        <v>949</v>
      </c>
      <c r="F270" s="2" t="s">
        <v>914</v>
      </c>
      <c r="G270" s="4">
        <f t="shared" si="4"/>
        <v>1</v>
      </c>
      <c r="J270" s="2" t="s">
        <v>1129</v>
      </c>
      <c r="L270" s="7">
        <v>48.854580499100003</v>
      </c>
      <c r="M270" s="7">
        <v>2.3855634808200001</v>
      </c>
      <c r="N270" s="4" t="str">
        <f>VLOOKUP(C270,CHECKS!A:I,9,FALSE)</f>
        <v>#B6BD00</v>
      </c>
      <c r="O270" s="4">
        <f>VLOOKUP(C270,CHECKS!A:I,6,FALSE)</f>
        <v>1.44</v>
      </c>
      <c r="P270" s="4">
        <f>VLOOKUP(C270,CHECKS!A:I,7,FALSE)</f>
        <v>4</v>
      </c>
      <c r="Q270" s="4">
        <f>VLOOKUP(C270,CHECKS!A:I,8,FALSE)</f>
        <v>7</v>
      </c>
      <c r="R270">
        <v>268</v>
      </c>
    </row>
    <row r="271" spans="1:18" x14ac:dyDescent="0.2">
      <c r="A271" s="4">
        <v>2700</v>
      </c>
      <c r="B271" s="2" t="s">
        <v>751</v>
      </c>
      <c r="C271" s="4" t="s">
        <v>904</v>
      </c>
      <c r="D271" s="2" t="s">
        <v>915</v>
      </c>
      <c r="E271" s="2" t="s">
        <v>950</v>
      </c>
      <c r="F271" s="2" t="s">
        <v>915</v>
      </c>
      <c r="G271" s="4">
        <f t="shared" si="4"/>
        <v>1</v>
      </c>
      <c r="J271" s="2" t="s">
        <v>1130</v>
      </c>
      <c r="L271" s="7">
        <v>48.852315427400001</v>
      </c>
      <c r="M271" s="7">
        <v>2.3893781279200001</v>
      </c>
      <c r="N271" s="4" t="str">
        <f>VLOOKUP(C271,CHECKS!A:I,9,FALSE)</f>
        <v>#B6BD00</v>
      </c>
      <c r="O271" s="4">
        <f>VLOOKUP(C271,CHECKS!A:I,6,FALSE)</f>
        <v>1.44</v>
      </c>
      <c r="P271" s="4">
        <f>VLOOKUP(C271,CHECKS!A:I,7,FALSE)</f>
        <v>4</v>
      </c>
      <c r="Q271" s="4">
        <f>VLOOKUP(C271,CHECKS!A:I,8,FALSE)</f>
        <v>7</v>
      </c>
      <c r="R271">
        <v>269</v>
      </c>
    </row>
    <row r="272" spans="1:18" x14ac:dyDescent="0.2">
      <c r="A272" s="4">
        <v>2710</v>
      </c>
      <c r="B272" s="2" t="s">
        <v>752</v>
      </c>
      <c r="C272" s="4" t="s">
        <v>904</v>
      </c>
      <c r="D272" s="2" t="s">
        <v>25</v>
      </c>
      <c r="E272" s="2" t="s">
        <v>951</v>
      </c>
      <c r="F272" s="2" t="s">
        <v>25</v>
      </c>
      <c r="G272" s="4">
        <f t="shared" si="4"/>
        <v>5</v>
      </c>
      <c r="H272" s="2" t="s">
        <v>1413</v>
      </c>
      <c r="I272" s="2" t="s">
        <v>2375</v>
      </c>
      <c r="J272" s="2" t="s">
        <v>1131</v>
      </c>
      <c r="K272" s="2" t="s">
        <v>1438</v>
      </c>
      <c r="L272" s="7">
        <v>48.848944645099998</v>
      </c>
      <c r="M272" s="7">
        <v>2.3958794351899999</v>
      </c>
      <c r="N272" s="4" t="str">
        <f>VLOOKUP(C272,CHECKS!A:I,9,FALSE)</f>
        <v>#B6BD00</v>
      </c>
      <c r="O272" s="4">
        <f>VLOOKUP(C272,CHECKS!A:I,6,FALSE)</f>
        <v>1.44</v>
      </c>
      <c r="P272" s="4">
        <f>VLOOKUP(C272,CHECKS!A:I,7,FALSE)</f>
        <v>4</v>
      </c>
      <c r="Q272" s="4">
        <f>VLOOKUP(C272,CHECKS!A:I,8,FALSE)</f>
        <v>7</v>
      </c>
      <c r="R272">
        <v>270</v>
      </c>
    </row>
    <row r="273" spans="1:18" x14ac:dyDescent="0.2">
      <c r="A273" s="4">
        <v>2720</v>
      </c>
      <c r="B273" s="2" t="s">
        <v>753</v>
      </c>
      <c r="C273" s="4" t="s">
        <v>904</v>
      </c>
      <c r="D273" s="2" t="s">
        <v>916</v>
      </c>
      <c r="E273" s="2" t="s">
        <v>952</v>
      </c>
      <c r="F273" s="2" t="s">
        <v>916</v>
      </c>
      <c r="G273" s="4">
        <f t="shared" si="4"/>
        <v>1</v>
      </c>
      <c r="J273" s="2" t="s">
        <v>1132</v>
      </c>
      <c r="L273" s="7">
        <v>48.851812133000003</v>
      </c>
      <c r="M273" s="7">
        <v>2.4010222705199999</v>
      </c>
      <c r="N273" s="4" t="str">
        <f>VLOOKUP(C273,CHECKS!A:I,9,FALSE)</f>
        <v>#B6BD00</v>
      </c>
      <c r="O273" s="4">
        <f>VLOOKUP(C273,CHECKS!A:I,6,FALSE)</f>
        <v>1.44</v>
      </c>
      <c r="P273" s="4">
        <f>VLOOKUP(C273,CHECKS!A:I,7,FALSE)</f>
        <v>4</v>
      </c>
      <c r="Q273" s="4">
        <f>VLOOKUP(C273,CHECKS!A:I,8,FALSE)</f>
        <v>7</v>
      </c>
      <c r="R273">
        <v>271</v>
      </c>
    </row>
    <row r="274" spans="1:18" x14ac:dyDescent="0.2">
      <c r="A274" s="4">
        <v>2730</v>
      </c>
      <c r="B274" s="2" t="s">
        <v>754</v>
      </c>
      <c r="C274" s="4" t="s">
        <v>904</v>
      </c>
      <c r="D274" s="2" t="s">
        <v>917</v>
      </c>
      <c r="E274" s="2" t="s">
        <v>953</v>
      </c>
      <c r="F274" s="2" t="s">
        <v>917</v>
      </c>
      <c r="G274" s="4">
        <f t="shared" si="4"/>
        <v>1</v>
      </c>
      <c r="J274" s="2" t="s">
        <v>1133</v>
      </c>
      <c r="L274" s="7">
        <v>48.852725119299997</v>
      </c>
      <c r="M274" s="7">
        <v>2.4060891618800002</v>
      </c>
      <c r="N274" s="4" t="str">
        <f>VLOOKUP(C274,CHECKS!A:I,9,FALSE)</f>
        <v>#B6BD00</v>
      </c>
      <c r="O274" s="4">
        <f>VLOOKUP(C274,CHECKS!A:I,6,FALSE)</f>
        <v>1.44</v>
      </c>
      <c r="P274" s="4">
        <f>VLOOKUP(C274,CHECKS!A:I,7,FALSE)</f>
        <v>4</v>
      </c>
      <c r="Q274" s="4">
        <f>VLOOKUP(C274,CHECKS!A:I,8,FALSE)</f>
        <v>7</v>
      </c>
      <c r="R274">
        <v>272</v>
      </c>
    </row>
    <row r="275" spans="1:18" x14ac:dyDescent="0.2">
      <c r="A275" s="4">
        <v>2740</v>
      </c>
      <c r="B275" s="2" t="s">
        <v>755</v>
      </c>
      <c r="C275" s="4" t="s">
        <v>904</v>
      </c>
      <c r="D275" s="2" t="s">
        <v>918</v>
      </c>
      <c r="E275" s="2" t="s">
        <v>954</v>
      </c>
      <c r="F275" s="2" t="s">
        <v>918</v>
      </c>
      <c r="G275" s="4">
        <f t="shared" si="4"/>
        <v>2</v>
      </c>
      <c r="I275" s="2" t="s">
        <v>1779</v>
      </c>
      <c r="J275" s="2" t="s">
        <v>1134</v>
      </c>
      <c r="L275" s="7">
        <v>48.853543916100001</v>
      </c>
      <c r="M275" s="7">
        <v>2.4106264257399999</v>
      </c>
      <c r="N275" s="4" t="str">
        <f>VLOOKUP(C275,CHECKS!A:I,9,FALSE)</f>
        <v>#B6BD00</v>
      </c>
      <c r="O275" s="4">
        <f>VLOOKUP(C275,CHECKS!A:I,6,FALSE)</f>
        <v>1.44</v>
      </c>
      <c r="P275" s="4">
        <f>VLOOKUP(C275,CHECKS!A:I,7,FALSE)</f>
        <v>4</v>
      </c>
      <c r="Q275" s="4">
        <f>VLOOKUP(C275,CHECKS!A:I,8,FALSE)</f>
        <v>7</v>
      </c>
      <c r="R275">
        <v>273</v>
      </c>
    </row>
    <row r="276" spans="1:18" x14ac:dyDescent="0.2">
      <c r="A276" s="4">
        <v>2750</v>
      </c>
      <c r="B276" s="2" t="s">
        <v>756</v>
      </c>
      <c r="C276" s="4" t="s">
        <v>904</v>
      </c>
      <c r="D276" s="2" t="s">
        <v>919</v>
      </c>
      <c r="E276" s="2" t="s">
        <v>955</v>
      </c>
      <c r="F276" s="2" t="s">
        <v>919</v>
      </c>
      <c r="G276" s="4">
        <f t="shared" si="4"/>
        <v>1</v>
      </c>
      <c r="J276" s="2" t="s">
        <v>1135</v>
      </c>
      <c r="L276" s="7">
        <v>48.855726428600001</v>
      </c>
      <c r="M276" s="7">
        <v>2.42298321615</v>
      </c>
      <c r="N276" s="4" t="str">
        <f>VLOOKUP(C276,CHECKS!A:I,9,FALSE)</f>
        <v>#B6BD00</v>
      </c>
      <c r="O276" s="4">
        <f>VLOOKUP(C276,CHECKS!A:I,6,FALSE)</f>
        <v>1.44</v>
      </c>
      <c r="P276" s="4">
        <f>VLOOKUP(C276,CHECKS!A:I,7,FALSE)</f>
        <v>4</v>
      </c>
      <c r="Q276" s="4">
        <f>VLOOKUP(C276,CHECKS!A:I,8,FALSE)</f>
        <v>7</v>
      </c>
      <c r="R276">
        <v>274</v>
      </c>
    </row>
    <row r="277" spans="1:18" x14ac:dyDescent="0.2">
      <c r="A277" s="4">
        <v>2760</v>
      </c>
      <c r="B277" s="2" t="s">
        <v>757</v>
      </c>
      <c r="C277" s="4" t="s">
        <v>904</v>
      </c>
      <c r="D277" s="2" t="s">
        <v>920</v>
      </c>
      <c r="E277" s="2" t="s">
        <v>956</v>
      </c>
      <c r="F277" s="2" t="s">
        <v>920</v>
      </c>
      <c r="G277" s="4">
        <f t="shared" si="4"/>
        <v>1</v>
      </c>
      <c r="J277" s="2" t="s">
        <v>1136</v>
      </c>
      <c r="L277" s="7">
        <v>48.857965591199999</v>
      </c>
      <c r="M277" s="7">
        <v>2.4355557156900001</v>
      </c>
      <c r="N277" s="4" t="str">
        <f>VLOOKUP(C277,CHECKS!A:I,9,FALSE)</f>
        <v>#B6BD00</v>
      </c>
      <c r="O277" s="4">
        <f>VLOOKUP(C277,CHECKS!A:I,6,FALSE)</f>
        <v>1.44</v>
      </c>
      <c r="P277" s="4">
        <f>VLOOKUP(C277,CHECKS!A:I,7,FALSE)</f>
        <v>4</v>
      </c>
      <c r="Q277" s="4">
        <f>VLOOKUP(C277,CHECKS!A:I,8,FALSE)</f>
        <v>7</v>
      </c>
      <c r="R277">
        <v>275</v>
      </c>
    </row>
    <row r="278" spans="1:18" x14ac:dyDescent="0.2">
      <c r="A278" s="4">
        <v>2770</v>
      </c>
      <c r="B278" s="2" t="s">
        <v>758</v>
      </c>
      <c r="C278" s="4" t="s">
        <v>904</v>
      </c>
      <c r="D278" s="2" t="s">
        <v>921</v>
      </c>
      <c r="E278" s="2" t="s">
        <v>757</v>
      </c>
      <c r="F278" s="2" t="s">
        <v>921</v>
      </c>
      <c r="G278" s="4">
        <f t="shared" si="4"/>
        <v>1</v>
      </c>
      <c r="J278" s="2" t="s">
        <v>920</v>
      </c>
      <c r="L278" s="7">
        <v>48.861936914099999</v>
      </c>
      <c r="M278" s="7">
        <v>2.4413109412499998</v>
      </c>
      <c r="N278" s="4" t="str">
        <f>VLOOKUP(C278,CHECKS!A:I,9,FALSE)</f>
        <v>#B6BD00</v>
      </c>
      <c r="O278" s="4">
        <f>VLOOKUP(C278,CHECKS!A:I,6,FALSE)</f>
        <v>1.44</v>
      </c>
      <c r="P278" s="4">
        <f>VLOOKUP(C278,CHECKS!A:I,7,FALSE)</f>
        <v>4</v>
      </c>
      <c r="Q278" s="4">
        <f>VLOOKUP(C278,CHECKS!A:I,8,FALSE)</f>
        <v>7</v>
      </c>
      <c r="R278">
        <v>276</v>
      </c>
    </row>
    <row r="279" spans="1:18" x14ac:dyDescent="0.2">
      <c r="A279" s="4">
        <v>2780</v>
      </c>
      <c r="B279" s="2" t="s">
        <v>759</v>
      </c>
      <c r="C279" s="4" t="s">
        <v>1050</v>
      </c>
      <c r="D279" s="2" t="s">
        <v>1051</v>
      </c>
      <c r="E279" s="2" t="s">
        <v>760</v>
      </c>
      <c r="F279" s="2" t="s">
        <v>1051</v>
      </c>
      <c r="G279" s="4">
        <f t="shared" si="4"/>
        <v>1</v>
      </c>
      <c r="I279" s="2" t="s">
        <v>1677</v>
      </c>
      <c r="J279" s="2" t="s">
        <v>1052</v>
      </c>
      <c r="L279" s="7">
        <v>48.8407450152</v>
      </c>
      <c r="M279" s="7">
        <v>2.2285369815</v>
      </c>
      <c r="N279" s="4" t="str">
        <f>VLOOKUP(C279,CHECKS!A:I,9,FALSE)</f>
        <v>#C9910D</v>
      </c>
      <c r="O279" s="4">
        <f>VLOOKUP(C279,CHECKS!A:I,6,FALSE)</f>
        <v>1.45</v>
      </c>
      <c r="P279" s="4">
        <f>VLOOKUP(C279,CHECKS!A:I,7,FALSE)</f>
        <v>4</v>
      </c>
      <c r="Q279" s="4">
        <f>VLOOKUP(C279,CHECKS!A:I,8,FALSE)</f>
        <v>7</v>
      </c>
      <c r="R279">
        <v>277</v>
      </c>
    </row>
    <row r="280" spans="1:18" x14ac:dyDescent="0.2">
      <c r="A280" s="4">
        <v>2790</v>
      </c>
      <c r="B280" s="2" t="s">
        <v>760</v>
      </c>
      <c r="C280" s="4" t="s">
        <v>1050</v>
      </c>
      <c r="D280" s="2" t="s">
        <v>1052</v>
      </c>
      <c r="E280" s="2" t="s">
        <v>1067</v>
      </c>
      <c r="F280" s="2" t="s">
        <v>1052</v>
      </c>
      <c r="G280" s="4">
        <f t="shared" si="4"/>
        <v>1</v>
      </c>
      <c r="J280" s="2" t="s">
        <v>1137</v>
      </c>
      <c r="L280" s="7">
        <v>48.842005347300002</v>
      </c>
      <c r="M280" s="7">
        <v>2.2388873257899999</v>
      </c>
      <c r="N280" s="4" t="str">
        <f>VLOOKUP(C280,CHECKS!A:I,9,FALSE)</f>
        <v>#C9910D</v>
      </c>
      <c r="O280" s="4">
        <f>VLOOKUP(C280,CHECKS!A:I,6,FALSE)</f>
        <v>1.45</v>
      </c>
      <c r="P280" s="4">
        <f>VLOOKUP(C280,CHECKS!A:I,7,FALSE)</f>
        <v>4</v>
      </c>
      <c r="Q280" s="4">
        <f>VLOOKUP(C280,CHECKS!A:I,8,FALSE)</f>
        <v>7</v>
      </c>
      <c r="R280">
        <v>278</v>
      </c>
    </row>
    <row r="281" spans="1:18" x14ac:dyDescent="0.2">
      <c r="A281" s="4">
        <v>2800</v>
      </c>
      <c r="B281" s="2" t="s">
        <v>761</v>
      </c>
      <c r="C281" s="4" t="s">
        <v>1050</v>
      </c>
      <c r="D281" s="2" t="s">
        <v>1053</v>
      </c>
      <c r="E281" s="2" t="s">
        <v>1068</v>
      </c>
      <c r="F281" s="2" t="s">
        <v>1053</v>
      </c>
      <c r="G281" s="4">
        <f t="shared" si="4"/>
        <v>1</v>
      </c>
      <c r="J281" s="2" t="s">
        <v>1138</v>
      </c>
      <c r="L281" s="7">
        <v>48.8479715406</v>
      </c>
      <c r="M281" s="7">
        <v>2.2577446803800001</v>
      </c>
      <c r="N281" s="4" t="str">
        <f>VLOOKUP(C281,CHECKS!A:I,9,FALSE)</f>
        <v>#C9910D</v>
      </c>
      <c r="O281" s="4">
        <f>VLOOKUP(C281,CHECKS!A:I,6,FALSE)</f>
        <v>1.45</v>
      </c>
      <c r="P281" s="4">
        <f>VLOOKUP(C281,CHECKS!A:I,7,FALSE)</f>
        <v>4</v>
      </c>
      <c r="Q281" s="4">
        <f>VLOOKUP(C281,CHECKS!A:I,8,FALSE)</f>
        <v>7</v>
      </c>
      <c r="R281">
        <v>279</v>
      </c>
    </row>
    <row r="282" spans="1:18" x14ac:dyDescent="0.2">
      <c r="A282" s="4">
        <v>2810</v>
      </c>
      <c r="B282" s="2" t="s">
        <v>762</v>
      </c>
      <c r="C282" s="4" t="s">
        <v>1050</v>
      </c>
      <c r="D282" s="2" t="s">
        <v>901</v>
      </c>
      <c r="E282" s="2" t="s">
        <v>1069</v>
      </c>
      <c r="F282" s="2" t="s">
        <v>901</v>
      </c>
      <c r="G282" s="4">
        <f t="shared" si="4"/>
        <v>2</v>
      </c>
      <c r="H282" s="2" t="s">
        <v>728</v>
      </c>
      <c r="J282" s="2" t="s">
        <v>1139</v>
      </c>
      <c r="K282" s="2" t="s">
        <v>901</v>
      </c>
      <c r="L282" s="7">
        <v>48.847934807900003</v>
      </c>
      <c r="M282" s="7">
        <v>2.26421877705</v>
      </c>
      <c r="N282" s="4" t="str">
        <f>VLOOKUP(C282,CHECKS!A:I,9,FALSE)</f>
        <v>#C9910D</v>
      </c>
      <c r="O282" s="4">
        <f>VLOOKUP(C282,CHECKS!A:I,6,FALSE)</f>
        <v>1.45</v>
      </c>
      <c r="P282" s="4">
        <f>VLOOKUP(C282,CHECKS!A:I,7,FALSE)</f>
        <v>4</v>
      </c>
      <c r="Q282" s="4">
        <f>VLOOKUP(C282,CHECKS!A:I,8,FALSE)</f>
        <v>7</v>
      </c>
      <c r="R282">
        <v>280</v>
      </c>
    </row>
    <row r="283" spans="1:18" x14ac:dyDescent="0.2">
      <c r="A283" s="4">
        <v>2820</v>
      </c>
      <c r="B283" s="2" t="s">
        <v>763</v>
      </c>
      <c r="C283" s="4" t="s">
        <v>1050</v>
      </c>
      <c r="D283" s="2" t="s">
        <v>1054</v>
      </c>
      <c r="E283" s="2" t="s">
        <v>1070</v>
      </c>
      <c r="F283" s="2" t="s">
        <v>1054</v>
      </c>
      <c r="G283" s="4">
        <f t="shared" si="4"/>
        <v>1</v>
      </c>
      <c r="J283" s="2" t="s">
        <v>1140</v>
      </c>
      <c r="L283" s="7">
        <v>48.847150055699998</v>
      </c>
      <c r="M283" s="7">
        <v>2.2691358727300002</v>
      </c>
      <c r="N283" s="4" t="str">
        <f>VLOOKUP(C283,CHECKS!A:I,9,FALSE)</f>
        <v>#C9910D</v>
      </c>
      <c r="O283" s="4">
        <f>VLOOKUP(C283,CHECKS!A:I,6,FALSE)</f>
        <v>1.45</v>
      </c>
      <c r="P283" s="4">
        <f>VLOOKUP(C283,CHECKS!A:I,7,FALSE)</f>
        <v>4</v>
      </c>
      <c r="Q283" s="4">
        <f>VLOOKUP(C283,CHECKS!A:I,8,FALSE)</f>
        <v>7</v>
      </c>
      <c r="R283">
        <v>281</v>
      </c>
    </row>
    <row r="284" spans="1:18" x14ac:dyDescent="0.2">
      <c r="A284" s="4">
        <v>2830</v>
      </c>
      <c r="B284" s="2" t="s">
        <v>764</v>
      </c>
      <c r="C284" s="4" t="s">
        <v>1050</v>
      </c>
      <c r="D284" s="2" t="s">
        <v>900</v>
      </c>
      <c r="E284" s="2" t="s">
        <v>1071</v>
      </c>
      <c r="F284" s="2" t="s">
        <v>900</v>
      </c>
      <c r="G284" s="4">
        <f t="shared" si="4"/>
        <v>2</v>
      </c>
      <c r="H284" s="2" t="s">
        <v>727</v>
      </c>
      <c r="J284" s="2" t="s">
        <v>1141</v>
      </c>
      <c r="K284" s="2" t="s">
        <v>900</v>
      </c>
      <c r="L284" s="7">
        <v>48.845247565500003</v>
      </c>
      <c r="M284" s="7">
        <v>2.2616234924</v>
      </c>
      <c r="N284" s="4" t="str">
        <f>VLOOKUP(C284,CHECKS!A:I,9,FALSE)</f>
        <v>#C9910D</v>
      </c>
      <c r="O284" s="4">
        <f>VLOOKUP(C284,CHECKS!A:I,6,FALSE)</f>
        <v>1.45</v>
      </c>
      <c r="P284" s="4">
        <f>VLOOKUP(C284,CHECKS!A:I,7,FALSE)</f>
        <v>4</v>
      </c>
      <c r="Q284" s="4">
        <f>VLOOKUP(C284,CHECKS!A:I,8,FALSE)</f>
        <v>7</v>
      </c>
      <c r="R284">
        <v>282</v>
      </c>
    </row>
    <row r="285" spans="1:18" x14ac:dyDescent="0.2">
      <c r="A285" s="4">
        <v>2840</v>
      </c>
      <c r="B285" s="2" t="s">
        <v>765</v>
      </c>
      <c r="C285" s="4" t="s">
        <v>1050</v>
      </c>
      <c r="D285" s="2" t="s">
        <v>1055</v>
      </c>
      <c r="E285" s="2" t="s">
        <v>1072</v>
      </c>
      <c r="F285" s="2" t="s">
        <v>1055</v>
      </c>
      <c r="G285" s="4">
        <f t="shared" si="4"/>
        <v>1</v>
      </c>
      <c r="J285" s="2" t="s">
        <v>1142</v>
      </c>
      <c r="L285" s="7">
        <v>48.845204703599997</v>
      </c>
      <c r="M285" s="7">
        <v>2.26644154308</v>
      </c>
      <c r="N285" s="4" t="str">
        <f>VLOOKUP(C285,CHECKS!A:I,9,FALSE)</f>
        <v>#C9910D</v>
      </c>
      <c r="O285" s="4">
        <f>VLOOKUP(C285,CHECKS!A:I,6,FALSE)</f>
        <v>1.45</v>
      </c>
      <c r="P285" s="4">
        <f>VLOOKUP(C285,CHECKS!A:I,7,FALSE)</f>
        <v>4</v>
      </c>
      <c r="Q285" s="4">
        <f>VLOOKUP(C285,CHECKS!A:I,8,FALSE)</f>
        <v>7</v>
      </c>
      <c r="R285">
        <v>283</v>
      </c>
    </row>
    <row r="286" spans="1:18" x14ac:dyDescent="0.2">
      <c r="A286" s="4">
        <v>2850</v>
      </c>
      <c r="B286" s="2" t="s">
        <v>766</v>
      </c>
      <c r="C286" s="4" t="s">
        <v>1050</v>
      </c>
      <c r="D286" s="2" t="s">
        <v>1056</v>
      </c>
      <c r="E286" s="2" t="s">
        <v>1073</v>
      </c>
      <c r="F286" s="2" t="s">
        <v>1056</v>
      </c>
      <c r="G286" s="4">
        <f t="shared" si="4"/>
        <v>1</v>
      </c>
      <c r="J286" s="2" t="s">
        <v>1143</v>
      </c>
      <c r="L286" s="7">
        <v>48.847131008200002</v>
      </c>
      <c r="M286" s="7">
        <v>2.27276375332</v>
      </c>
      <c r="N286" s="4" t="str">
        <f>VLOOKUP(C286,CHECKS!A:I,9,FALSE)</f>
        <v>#C9910D</v>
      </c>
      <c r="O286" s="4">
        <f>VLOOKUP(C286,CHECKS!A:I,6,FALSE)</f>
        <v>1.45</v>
      </c>
      <c r="P286" s="4">
        <f>VLOOKUP(C286,CHECKS!A:I,7,FALSE)</f>
        <v>4</v>
      </c>
      <c r="Q286" s="4">
        <f>VLOOKUP(C286,CHECKS!A:I,8,FALSE)</f>
        <v>7</v>
      </c>
      <c r="R286">
        <v>284</v>
      </c>
    </row>
    <row r="287" spans="1:18" x14ac:dyDescent="0.2">
      <c r="A287" s="4">
        <v>2860</v>
      </c>
      <c r="B287" s="2" t="s">
        <v>767</v>
      </c>
      <c r="C287" s="4" t="s">
        <v>1050</v>
      </c>
      <c r="D287" s="2" t="s">
        <v>1057</v>
      </c>
      <c r="E287" s="2" t="s">
        <v>1074</v>
      </c>
      <c r="F287" s="2" t="s">
        <v>1057</v>
      </c>
      <c r="G287" s="4">
        <f t="shared" si="4"/>
        <v>1</v>
      </c>
      <c r="J287" s="2" t="s">
        <v>1144</v>
      </c>
      <c r="L287" s="7">
        <v>48.846123666899999</v>
      </c>
      <c r="M287" s="7">
        <v>2.27771173983</v>
      </c>
      <c r="N287" s="4" t="str">
        <f>VLOOKUP(C287,CHECKS!A:I,9,FALSE)</f>
        <v>#C9910D</v>
      </c>
      <c r="O287" s="4">
        <f>VLOOKUP(C287,CHECKS!A:I,6,FALSE)</f>
        <v>1.45</v>
      </c>
      <c r="P287" s="4">
        <f>VLOOKUP(C287,CHECKS!A:I,7,FALSE)</f>
        <v>4</v>
      </c>
      <c r="Q287" s="4">
        <f>VLOOKUP(C287,CHECKS!A:I,8,FALSE)</f>
        <v>7</v>
      </c>
      <c r="R287">
        <v>285</v>
      </c>
    </row>
    <row r="288" spans="1:18" x14ac:dyDescent="0.2">
      <c r="A288" s="4">
        <v>2870</v>
      </c>
      <c r="B288" s="2" t="s">
        <v>768</v>
      </c>
      <c r="C288" s="4" t="s">
        <v>1050</v>
      </c>
      <c r="D288" s="2" t="s">
        <v>1058</v>
      </c>
      <c r="E288" s="2" t="s">
        <v>1378</v>
      </c>
      <c r="F288" s="2" t="s">
        <v>1058</v>
      </c>
      <c r="G288" s="4">
        <f t="shared" si="4"/>
        <v>1</v>
      </c>
      <c r="J288" s="2" t="s">
        <v>1380</v>
      </c>
      <c r="L288" s="7">
        <v>48.8465346367</v>
      </c>
      <c r="M288" s="7">
        <v>2.2859992234200002</v>
      </c>
      <c r="N288" s="4" t="str">
        <f>VLOOKUP(C288,CHECKS!A:I,9,FALSE)</f>
        <v>#C9910D</v>
      </c>
      <c r="O288" s="4">
        <f>VLOOKUP(C288,CHECKS!A:I,6,FALSE)</f>
        <v>1.45</v>
      </c>
      <c r="P288" s="4">
        <f>VLOOKUP(C288,CHECKS!A:I,7,FALSE)</f>
        <v>4</v>
      </c>
      <c r="Q288" s="4">
        <f>VLOOKUP(C288,CHECKS!A:I,8,FALSE)</f>
        <v>7</v>
      </c>
      <c r="R288">
        <v>286</v>
      </c>
    </row>
    <row r="289" spans="1:18" x14ac:dyDescent="0.2">
      <c r="A289" s="4">
        <v>2880</v>
      </c>
      <c r="B289" s="2" t="s">
        <v>1377</v>
      </c>
      <c r="C289" s="4" t="s">
        <v>1050</v>
      </c>
      <c r="D289" s="2" t="s">
        <v>1059</v>
      </c>
      <c r="E289" s="2" t="s">
        <v>1075</v>
      </c>
      <c r="F289" s="2" t="s">
        <v>1059</v>
      </c>
      <c r="G289" s="4">
        <f t="shared" si="4"/>
        <v>1</v>
      </c>
      <c r="J289" s="2" t="s">
        <v>1145</v>
      </c>
      <c r="L289" s="7">
        <v>48.8470195819</v>
      </c>
      <c r="M289" s="7">
        <v>2.29542047803</v>
      </c>
      <c r="N289" s="4" t="str">
        <f>VLOOKUP(C289,CHECKS!A:I,9,FALSE)</f>
        <v>#C9910D</v>
      </c>
      <c r="O289" s="4">
        <f>VLOOKUP(C289,CHECKS!A:I,6,FALSE)</f>
        <v>1.45</v>
      </c>
      <c r="P289" s="4">
        <f>VLOOKUP(C289,CHECKS!A:I,7,FALSE)</f>
        <v>4</v>
      </c>
      <c r="Q289" s="4">
        <f>VLOOKUP(C289,CHECKS!A:I,8,FALSE)</f>
        <v>7</v>
      </c>
      <c r="R289">
        <v>287</v>
      </c>
    </row>
    <row r="290" spans="1:18" x14ac:dyDescent="0.2">
      <c r="A290" s="4">
        <v>2890</v>
      </c>
      <c r="B290" s="2" t="s">
        <v>957</v>
      </c>
      <c r="C290" s="4" t="s">
        <v>1050</v>
      </c>
      <c r="D290" s="2" t="s">
        <v>426</v>
      </c>
      <c r="E290" s="2" t="s">
        <v>1379</v>
      </c>
      <c r="F290" s="2" t="s">
        <v>426</v>
      </c>
      <c r="G290" s="4">
        <f t="shared" si="4"/>
        <v>3</v>
      </c>
      <c r="H290" s="2" t="s">
        <v>1404</v>
      </c>
      <c r="J290" s="2" t="s">
        <v>1381</v>
      </c>
      <c r="K290" s="2" t="s">
        <v>1448</v>
      </c>
      <c r="L290" s="7">
        <v>48.849350553599997</v>
      </c>
      <c r="M290" s="7">
        <v>2.2983014017299999</v>
      </c>
      <c r="N290" s="4" t="str">
        <f>VLOOKUP(C290,CHECKS!A:I,9,FALSE)</f>
        <v>#C9910D</v>
      </c>
      <c r="O290" s="4">
        <f>VLOOKUP(C290,CHECKS!A:I,6,FALSE)</f>
        <v>1.45</v>
      </c>
      <c r="P290" s="4">
        <f>VLOOKUP(C290,CHECKS!A:I,7,FALSE)</f>
        <v>4</v>
      </c>
      <c r="Q290" s="4">
        <f>VLOOKUP(C290,CHECKS!A:I,8,FALSE)</f>
        <v>7</v>
      </c>
      <c r="R290">
        <v>288</v>
      </c>
    </row>
    <row r="291" spans="1:18" x14ac:dyDescent="0.2">
      <c r="A291" s="4">
        <v>2900</v>
      </c>
      <c r="B291" s="2" t="s">
        <v>958</v>
      </c>
      <c r="C291" s="4" t="s">
        <v>1050</v>
      </c>
      <c r="D291" s="2" t="s">
        <v>1060</v>
      </c>
      <c r="E291" s="2" t="s">
        <v>1076</v>
      </c>
      <c r="F291" s="2" t="s">
        <v>1060</v>
      </c>
      <c r="G291" s="4">
        <f t="shared" si="4"/>
        <v>1</v>
      </c>
      <c r="J291" s="2" t="s">
        <v>1146</v>
      </c>
      <c r="L291" s="7">
        <v>48.847066133200002</v>
      </c>
      <c r="M291" s="7">
        <v>2.3074022406200001</v>
      </c>
      <c r="N291" s="4" t="str">
        <f>VLOOKUP(C291,CHECKS!A:I,9,FALSE)</f>
        <v>#C9910D</v>
      </c>
      <c r="O291" s="4">
        <f>VLOOKUP(C291,CHECKS!A:I,6,FALSE)</f>
        <v>1.45</v>
      </c>
      <c r="P291" s="4">
        <f>VLOOKUP(C291,CHECKS!A:I,7,FALSE)</f>
        <v>4</v>
      </c>
      <c r="Q291" s="4">
        <f>VLOOKUP(C291,CHECKS!A:I,8,FALSE)</f>
        <v>7</v>
      </c>
      <c r="R291">
        <v>289</v>
      </c>
    </row>
    <row r="292" spans="1:18" x14ac:dyDescent="0.2">
      <c r="A292" s="4">
        <v>2910</v>
      </c>
      <c r="B292" s="2" t="s">
        <v>959</v>
      </c>
      <c r="C292" s="4" t="s">
        <v>1050</v>
      </c>
      <c r="D292" s="2" t="s">
        <v>1061</v>
      </c>
      <c r="E292" s="2" t="s">
        <v>1077</v>
      </c>
      <c r="F292" s="2" t="s">
        <v>1061</v>
      </c>
      <c r="G292" s="4">
        <f t="shared" si="4"/>
        <v>2</v>
      </c>
      <c r="H292" s="2" t="s">
        <v>1032</v>
      </c>
      <c r="J292" s="2" t="s">
        <v>1147</v>
      </c>
      <c r="K292" s="2" t="s">
        <v>1061</v>
      </c>
      <c r="L292" s="7">
        <v>48.846989106099997</v>
      </c>
      <c r="M292" s="7">
        <v>2.3170052357399999</v>
      </c>
      <c r="N292" s="4" t="str">
        <f>VLOOKUP(C292,CHECKS!A:I,9,FALSE)</f>
        <v>#C9910D</v>
      </c>
      <c r="O292" s="4">
        <f>VLOOKUP(C292,CHECKS!A:I,6,FALSE)</f>
        <v>1.45</v>
      </c>
      <c r="P292" s="4">
        <f>VLOOKUP(C292,CHECKS!A:I,7,FALSE)</f>
        <v>4</v>
      </c>
      <c r="Q292" s="4">
        <f>VLOOKUP(C292,CHECKS!A:I,8,FALSE)</f>
        <v>7</v>
      </c>
      <c r="R292">
        <v>290</v>
      </c>
    </row>
    <row r="293" spans="1:18" x14ac:dyDescent="0.2">
      <c r="A293" s="4">
        <v>2920</v>
      </c>
      <c r="B293" s="2" t="s">
        <v>960</v>
      </c>
      <c r="C293" s="4" t="s">
        <v>1050</v>
      </c>
      <c r="D293" s="2" t="s">
        <v>1062</v>
      </c>
      <c r="E293" s="2" t="s">
        <v>1078</v>
      </c>
      <c r="F293" s="2" t="s">
        <v>1062</v>
      </c>
      <c r="G293" s="4">
        <f t="shared" si="4"/>
        <v>1</v>
      </c>
      <c r="J293" s="2" t="s">
        <v>1298</v>
      </c>
      <c r="L293" s="7">
        <v>48.848816372500004</v>
      </c>
      <c r="M293" s="7">
        <v>2.32125786291</v>
      </c>
      <c r="N293" s="4" t="str">
        <f>VLOOKUP(C293,CHECKS!A:I,9,FALSE)</f>
        <v>#C9910D</v>
      </c>
      <c r="O293" s="4">
        <f>VLOOKUP(C293,CHECKS!A:I,6,FALSE)</f>
        <v>1.45</v>
      </c>
      <c r="P293" s="4">
        <f>VLOOKUP(C293,CHECKS!A:I,7,FALSE)</f>
        <v>4</v>
      </c>
      <c r="Q293" s="4">
        <f>VLOOKUP(C293,CHECKS!A:I,8,FALSE)</f>
        <v>7</v>
      </c>
      <c r="R293">
        <v>291</v>
      </c>
    </row>
    <row r="294" spans="1:18" x14ac:dyDescent="0.2">
      <c r="A294" s="4">
        <v>2930</v>
      </c>
      <c r="B294" s="2" t="s">
        <v>961</v>
      </c>
      <c r="C294" s="4" t="s">
        <v>1050</v>
      </c>
      <c r="D294" s="2" t="s">
        <v>1178</v>
      </c>
      <c r="E294" s="2" t="s">
        <v>1079</v>
      </c>
      <c r="F294" s="2" t="s">
        <v>1178</v>
      </c>
      <c r="G294" s="4">
        <f t="shared" si="4"/>
        <v>2</v>
      </c>
      <c r="H294" s="2" t="s">
        <v>999</v>
      </c>
      <c r="J294" s="2" t="s">
        <v>1148</v>
      </c>
      <c r="K294" s="2" t="s">
        <v>1178</v>
      </c>
      <c r="L294" s="7">
        <v>48.8511923493</v>
      </c>
      <c r="M294" s="7">
        <v>2.32648847397</v>
      </c>
      <c r="N294" s="4" t="str">
        <f>VLOOKUP(C294,CHECKS!A:I,9,FALSE)</f>
        <v>#C9910D</v>
      </c>
      <c r="O294" s="4">
        <f>VLOOKUP(C294,CHECKS!A:I,6,FALSE)</f>
        <v>1.45</v>
      </c>
      <c r="P294" s="4">
        <f>VLOOKUP(C294,CHECKS!A:I,7,FALSE)</f>
        <v>4</v>
      </c>
      <c r="Q294" s="4">
        <f>VLOOKUP(C294,CHECKS!A:I,8,FALSE)</f>
        <v>7</v>
      </c>
      <c r="R294">
        <v>292</v>
      </c>
    </row>
    <row r="295" spans="1:18" x14ac:dyDescent="0.2">
      <c r="A295" s="4">
        <v>2940</v>
      </c>
      <c r="B295" s="2" t="s">
        <v>962</v>
      </c>
      <c r="C295" s="4" t="s">
        <v>1050</v>
      </c>
      <c r="D295" s="2" t="s">
        <v>1063</v>
      </c>
      <c r="E295" s="2" t="s">
        <v>1080</v>
      </c>
      <c r="F295" s="2" t="s">
        <v>1063</v>
      </c>
      <c r="G295" s="4">
        <f t="shared" si="4"/>
        <v>1</v>
      </c>
      <c r="J295" s="2" t="s">
        <v>1299</v>
      </c>
      <c r="L295" s="7">
        <v>48.853016767900002</v>
      </c>
      <c r="M295" s="7">
        <v>2.3355020530899999</v>
      </c>
      <c r="N295" s="4" t="str">
        <f>VLOOKUP(C295,CHECKS!A:I,9,FALSE)</f>
        <v>#C9910D</v>
      </c>
      <c r="O295" s="4">
        <f>VLOOKUP(C295,CHECKS!A:I,6,FALSE)</f>
        <v>1.45</v>
      </c>
      <c r="P295" s="4">
        <f>VLOOKUP(C295,CHECKS!A:I,7,FALSE)</f>
        <v>4</v>
      </c>
      <c r="Q295" s="4">
        <f>VLOOKUP(C295,CHECKS!A:I,8,FALSE)</f>
        <v>7</v>
      </c>
      <c r="R295">
        <v>293</v>
      </c>
    </row>
    <row r="296" spans="1:18" x14ac:dyDescent="0.2">
      <c r="A296" s="4">
        <v>2950</v>
      </c>
      <c r="B296" s="2" t="s">
        <v>963</v>
      </c>
      <c r="C296" s="4" t="s">
        <v>1050</v>
      </c>
      <c r="D296" s="2" t="s">
        <v>318</v>
      </c>
      <c r="E296" s="2" t="s">
        <v>1081</v>
      </c>
      <c r="F296" s="2" t="s">
        <v>318</v>
      </c>
      <c r="G296" s="4">
        <f t="shared" si="4"/>
        <v>2</v>
      </c>
      <c r="H296" s="2" t="s">
        <v>294</v>
      </c>
      <c r="J296" s="2" t="s">
        <v>1149</v>
      </c>
      <c r="K296" s="2" t="s">
        <v>318</v>
      </c>
      <c r="L296" s="7">
        <v>48.8521672611</v>
      </c>
      <c r="M296" s="7">
        <v>2.3396463359299999</v>
      </c>
      <c r="N296" s="4" t="str">
        <f>VLOOKUP(C296,CHECKS!A:I,9,FALSE)</f>
        <v>#C9910D</v>
      </c>
      <c r="O296" s="4">
        <f>VLOOKUP(C296,CHECKS!A:I,6,FALSE)</f>
        <v>1.45</v>
      </c>
      <c r="P296" s="4">
        <f>VLOOKUP(C296,CHECKS!A:I,7,FALSE)</f>
        <v>4</v>
      </c>
      <c r="Q296" s="4">
        <f>VLOOKUP(C296,CHECKS!A:I,8,FALSE)</f>
        <v>7</v>
      </c>
      <c r="R296">
        <v>294</v>
      </c>
    </row>
    <row r="297" spans="1:18" x14ac:dyDescent="0.2">
      <c r="A297" s="4">
        <v>2960</v>
      </c>
      <c r="B297" s="2" t="s">
        <v>964</v>
      </c>
      <c r="C297" s="4" t="s">
        <v>1050</v>
      </c>
      <c r="D297" s="2" t="s">
        <v>1064</v>
      </c>
      <c r="E297" s="2" t="s">
        <v>1082</v>
      </c>
      <c r="F297" s="2" t="s">
        <v>1064</v>
      </c>
      <c r="G297" s="4">
        <f t="shared" si="4"/>
        <v>1</v>
      </c>
      <c r="I297" s="2" t="s">
        <v>2499</v>
      </c>
      <c r="J297" s="2" t="s">
        <v>1150</v>
      </c>
      <c r="L297" s="7">
        <v>48.851050282300001</v>
      </c>
      <c r="M297" s="7">
        <v>2.34427334542</v>
      </c>
      <c r="N297" s="4" t="str">
        <f>VLOOKUP(C297,CHECKS!A:I,9,FALSE)</f>
        <v>#C9910D</v>
      </c>
      <c r="O297" s="4">
        <f>VLOOKUP(C297,CHECKS!A:I,6,FALSE)</f>
        <v>1.45</v>
      </c>
      <c r="P297" s="4">
        <f>VLOOKUP(C297,CHECKS!A:I,7,FALSE)</f>
        <v>4</v>
      </c>
      <c r="Q297" s="4">
        <f>VLOOKUP(C297,CHECKS!A:I,8,FALSE)</f>
        <v>7</v>
      </c>
      <c r="R297">
        <v>295</v>
      </c>
    </row>
    <row r="298" spans="1:18" x14ac:dyDescent="0.2">
      <c r="A298" s="4">
        <v>2970</v>
      </c>
      <c r="B298" s="2" t="s">
        <v>965</v>
      </c>
      <c r="C298" s="4" t="s">
        <v>1050</v>
      </c>
      <c r="D298" s="2" t="s">
        <v>1065</v>
      </c>
      <c r="E298" s="2" t="s">
        <v>1083</v>
      </c>
      <c r="F298" s="2" t="s">
        <v>1065</v>
      </c>
      <c r="G298" s="4">
        <f t="shared" si="4"/>
        <v>1</v>
      </c>
      <c r="J298" s="2" t="s">
        <v>1151</v>
      </c>
      <c r="L298" s="7">
        <v>48.850127323800002</v>
      </c>
      <c r="M298" s="7">
        <v>2.3480542904799999</v>
      </c>
      <c r="N298" s="4" t="str">
        <f>VLOOKUP(C298,CHECKS!A:I,9,FALSE)</f>
        <v>#C9910D</v>
      </c>
      <c r="O298" s="4">
        <f>VLOOKUP(C298,CHECKS!A:I,6,FALSE)</f>
        <v>1.45</v>
      </c>
      <c r="P298" s="4">
        <f>VLOOKUP(C298,CHECKS!A:I,7,FALSE)</f>
        <v>4</v>
      </c>
      <c r="Q298" s="4">
        <f>VLOOKUP(C298,CHECKS!A:I,8,FALSE)</f>
        <v>7</v>
      </c>
      <c r="R298">
        <v>296</v>
      </c>
    </row>
    <row r="299" spans="1:18" x14ac:dyDescent="0.2">
      <c r="A299" s="4">
        <v>2980</v>
      </c>
      <c r="B299" s="2" t="s">
        <v>966</v>
      </c>
      <c r="C299" s="4" t="s">
        <v>1050</v>
      </c>
      <c r="D299" s="2" t="s">
        <v>1066</v>
      </c>
      <c r="E299" s="2" t="s">
        <v>1084</v>
      </c>
      <c r="F299" s="2" t="s">
        <v>1066</v>
      </c>
      <c r="G299" s="4">
        <f t="shared" si="4"/>
        <v>1</v>
      </c>
      <c r="J299" s="2" t="s">
        <v>1152</v>
      </c>
      <c r="L299" s="7">
        <v>48.846656851299997</v>
      </c>
      <c r="M299" s="7">
        <v>2.3516232563799999</v>
      </c>
      <c r="N299" s="4" t="str">
        <f>VLOOKUP(C299,CHECKS!A:I,9,FALSE)</f>
        <v>#C9910D</v>
      </c>
      <c r="O299" s="4">
        <f>VLOOKUP(C299,CHECKS!A:I,6,FALSE)</f>
        <v>1.45</v>
      </c>
      <c r="P299" s="4">
        <f>VLOOKUP(C299,CHECKS!A:I,7,FALSE)</f>
        <v>4</v>
      </c>
      <c r="Q299" s="4">
        <f>VLOOKUP(C299,CHECKS!A:I,8,FALSE)</f>
        <v>7</v>
      </c>
      <c r="R299">
        <v>297</v>
      </c>
    </row>
    <row r="300" spans="1:18" x14ac:dyDescent="0.2">
      <c r="A300" s="4">
        <v>2990</v>
      </c>
      <c r="B300" s="2" t="s">
        <v>967</v>
      </c>
      <c r="C300" s="4" t="s">
        <v>1050</v>
      </c>
      <c r="D300" s="2" t="s">
        <v>511</v>
      </c>
      <c r="E300" s="2" t="s">
        <v>1085</v>
      </c>
      <c r="F300" s="2" t="s">
        <v>511</v>
      </c>
      <c r="G300" s="4">
        <f t="shared" si="4"/>
        <v>2</v>
      </c>
      <c r="H300" s="2" t="s">
        <v>612</v>
      </c>
      <c r="J300" s="2" t="s">
        <v>1153</v>
      </c>
      <c r="K300" s="2" t="s">
        <v>511</v>
      </c>
      <c r="L300" s="7">
        <v>48.8461511231</v>
      </c>
      <c r="M300" s="7">
        <v>2.3549179837000001</v>
      </c>
      <c r="N300" s="4" t="str">
        <f>VLOOKUP(C300,CHECKS!A:I,9,FALSE)</f>
        <v>#C9910D</v>
      </c>
      <c r="O300" s="4">
        <f>VLOOKUP(C300,CHECKS!A:I,6,FALSE)</f>
        <v>1.45</v>
      </c>
      <c r="P300" s="4">
        <f>VLOOKUP(C300,CHECKS!A:I,7,FALSE)</f>
        <v>4</v>
      </c>
      <c r="Q300" s="4">
        <f>VLOOKUP(C300,CHECKS!A:I,8,FALSE)</f>
        <v>7</v>
      </c>
      <c r="R300">
        <v>298</v>
      </c>
    </row>
    <row r="301" spans="1:18" x14ac:dyDescent="0.2">
      <c r="A301" s="4">
        <v>3000</v>
      </c>
      <c r="B301" s="2" t="s">
        <v>968</v>
      </c>
      <c r="C301" s="4" t="s">
        <v>1050</v>
      </c>
      <c r="D301" s="2" t="s">
        <v>415</v>
      </c>
      <c r="E301" s="2" t="s">
        <v>967</v>
      </c>
      <c r="F301" s="2" t="s">
        <v>415</v>
      </c>
      <c r="G301" s="4">
        <f t="shared" si="4"/>
        <v>2</v>
      </c>
      <c r="H301" s="2" t="s">
        <v>396</v>
      </c>
      <c r="J301" s="2" t="s">
        <v>511</v>
      </c>
      <c r="K301" s="2" t="s">
        <v>415</v>
      </c>
      <c r="L301" s="7">
        <v>48.842436796999998</v>
      </c>
      <c r="M301" s="7">
        <v>2.3651848119999999</v>
      </c>
      <c r="N301" s="4" t="str">
        <f>VLOOKUP(C301,CHECKS!A:I,9,FALSE)</f>
        <v>#C9910D</v>
      </c>
      <c r="O301" s="4">
        <f>VLOOKUP(C301,CHECKS!A:I,6,FALSE)</f>
        <v>1.45</v>
      </c>
      <c r="P301" s="4">
        <f>VLOOKUP(C301,CHECKS!A:I,7,FALSE)</f>
        <v>4</v>
      </c>
      <c r="Q301" s="4">
        <f>VLOOKUP(C301,CHECKS!A:I,8,FALSE)</f>
        <v>7</v>
      </c>
      <c r="R301">
        <v>299</v>
      </c>
    </row>
    <row r="302" spans="1:18" x14ac:dyDescent="0.2">
      <c r="A302" s="4">
        <v>3010</v>
      </c>
      <c r="B302" s="2" t="s">
        <v>969</v>
      </c>
      <c r="C302" s="4" t="s">
        <v>1086</v>
      </c>
      <c r="D302" s="2" t="s">
        <v>20</v>
      </c>
      <c r="E302" s="2" t="s">
        <v>970</v>
      </c>
      <c r="F302" s="2" t="s">
        <v>20</v>
      </c>
      <c r="G302" s="4">
        <f t="shared" si="4"/>
        <v>7</v>
      </c>
      <c r="H302" s="2" t="s">
        <v>1391</v>
      </c>
      <c r="I302" s="2" t="s">
        <v>2569</v>
      </c>
      <c r="J302" s="2" t="s">
        <v>1087</v>
      </c>
      <c r="K302" s="2" t="s">
        <v>1436</v>
      </c>
      <c r="L302" s="7">
        <v>48.8575563594</v>
      </c>
      <c r="M302" s="7">
        <v>2.3483088951300002</v>
      </c>
      <c r="N302" s="4" t="str">
        <f>VLOOKUP(C302,CHECKS!A:I,9,FALSE)</f>
        <v>#704B1C</v>
      </c>
      <c r="O302" s="4">
        <f>VLOOKUP(C302,CHECKS!A:I,6,FALSE)</f>
        <v>1.25</v>
      </c>
      <c r="P302" s="4">
        <f>VLOOKUP(C302,CHECKS!A:I,7,FALSE)</f>
        <v>4</v>
      </c>
      <c r="Q302" s="4">
        <f>VLOOKUP(C302,CHECKS!A:I,8,FALSE)</f>
        <v>7</v>
      </c>
      <c r="R302">
        <v>300</v>
      </c>
    </row>
    <row r="303" spans="1:18" x14ac:dyDescent="0.2">
      <c r="A303" s="4">
        <v>3020</v>
      </c>
      <c r="B303" s="2" t="s">
        <v>970</v>
      </c>
      <c r="C303" s="4" t="s">
        <v>1086</v>
      </c>
      <c r="D303" s="2" t="s">
        <v>1087</v>
      </c>
      <c r="E303" s="2" t="s">
        <v>1094</v>
      </c>
      <c r="F303" s="2" t="s">
        <v>1087</v>
      </c>
      <c r="G303" s="4">
        <f t="shared" si="4"/>
        <v>2</v>
      </c>
      <c r="H303" s="2" t="s">
        <v>45</v>
      </c>
      <c r="J303" s="2" t="s">
        <v>1154</v>
      </c>
      <c r="K303" s="2" t="s">
        <v>21</v>
      </c>
      <c r="L303" s="7">
        <v>48.857451832599999</v>
      </c>
      <c r="M303" s="7">
        <v>2.3510084613900002</v>
      </c>
      <c r="N303" s="4" t="str">
        <f>VLOOKUP(C303,CHECKS!A:I,9,FALSE)</f>
        <v>#704B1C</v>
      </c>
      <c r="O303" s="4">
        <f>VLOOKUP(C303,CHECKS!A:I,6,FALSE)</f>
        <v>1.25</v>
      </c>
      <c r="P303" s="4">
        <f>VLOOKUP(C303,CHECKS!A:I,7,FALSE)</f>
        <v>4</v>
      </c>
      <c r="Q303" s="4">
        <f>VLOOKUP(C303,CHECKS!A:I,8,FALSE)</f>
        <v>7</v>
      </c>
      <c r="R303">
        <v>301</v>
      </c>
    </row>
    <row r="304" spans="1:18" x14ac:dyDescent="0.2">
      <c r="A304" s="4">
        <v>3030</v>
      </c>
      <c r="B304" s="2" t="s">
        <v>971</v>
      </c>
      <c r="C304" s="4" t="s">
        <v>1086</v>
      </c>
      <c r="D304" s="2" t="s">
        <v>1088</v>
      </c>
      <c r="E304" s="2" t="s">
        <v>1095</v>
      </c>
      <c r="F304" s="2" t="s">
        <v>1088</v>
      </c>
      <c r="G304" s="4">
        <f t="shared" si="4"/>
        <v>1</v>
      </c>
      <c r="J304" s="2" t="s">
        <v>1155</v>
      </c>
      <c r="L304" s="7">
        <v>48.861204990300003</v>
      </c>
      <c r="M304" s="7">
        <v>2.3534957401300001</v>
      </c>
      <c r="N304" s="4" t="str">
        <f>VLOOKUP(C304,CHECKS!A:I,9,FALSE)</f>
        <v>#704B1C</v>
      </c>
      <c r="O304" s="4">
        <f>VLOOKUP(C304,CHECKS!A:I,6,FALSE)</f>
        <v>1.25</v>
      </c>
      <c r="P304" s="4">
        <f>VLOOKUP(C304,CHECKS!A:I,7,FALSE)</f>
        <v>4</v>
      </c>
      <c r="Q304" s="4">
        <f>VLOOKUP(C304,CHECKS!A:I,8,FALSE)</f>
        <v>7</v>
      </c>
      <c r="R304">
        <v>302</v>
      </c>
    </row>
    <row r="305" spans="1:18" x14ac:dyDescent="0.2">
      <c r="A305" s="4">
        <v>3040</v>
      </c>
      <c r="B305" s="2" t="s">
        <v>972</v>
      </c>
      <c r="C305" s="4" t="s">
        <v>1086</v>
      </c>
      <c r="D305" s="2" t="s">
        <v>242</v>
      </c>
      <c r="E305" s="2" t="s">
        <v>1096</v>
      </c>
      <c r="F305" s="2" t="s">
        <v>242</v>
      </c>
      <c r="G305" s="4">
        <f t="shared" si="4"/>
        <v>2</v>
      </c>
      <c r="H305" s="2" t="s">
        <v>218</v>
      </c>
      <c r="J305" s="2" t="s">
        <v>1156</v>
      </c>
      <c r="K305" s="2" t="s">
        <v>242</v>
      </c>
      <c r="L305" s="7">
        <v>48.865322711700003</v>
      </c>
      <c r="M305" s="7">
        <v>2.35672986917</v>
      </c>
      <c r="N305" s="4" t="str">
        <f>VLOOKUP(C305,CHECKS!A:I,9,FALSE)</f>
        <v>#704B1C</v>
      </c>
      <c r="O305" s="4">
        <f>VLOOKUP(C305,CHECKS!A:I,6,FALSE)</f>
        <v>1.25</v>
      </c>
      <c r="P305" s="4">
        <f>VLOOKUP(C305,CHECKS!A:I,7,FALSE)</f>
        <v>4</v>
      </c>
      <c r="Q305" s="4">
        <f>VLOOKUP(C305,CHECKS!A:I,8,FALSE)</f>
        <v>7</v>
      </c>
      <c r="R305">
        <v>303</v>
      </c>
    </row>
    <row r="306" spans="1:18" x14ac:dyDescent="0.2">
      <c r="A306" s="4">
        <v>3050</v>
      </c>
      <c r="B306" s="2" t="s">
        <v>973</v>
      </c>
      <c r="C306" s="4" t="s">
        <v>1086</v>
      </c>
      <c r="D306" s="2" t="s">
        <v>244</v>
      </c>
      <c r="E306" s="2" t="s">
        <v>1097</v>
      </c>
      <c r="F306" s="2" t="s">
        <v>244</v>
      </c>
      <c r="G306" s="4">
        <f t="shared" si="4"/>
        <v>5</v>
      </c>
      <c r="H306" s="2" t="s">
        <v>1424</v>
      </c>
      <c r="J306" s="2" t="s">
        <v>1157</v>
      </c>
      <c r="K306" s="2" t="s">
        <v>1443</v>
      </c>
      <c r="L306" s="7">
        <v>48.867503423800002</v>
      </c>
      <c r="M306" s="7">
        <v>2.3638261439799999</v>
      </c>
      <c r="N306" s="4" t="str">
        <f>VLOOKUP(C306,CHECKS!A:I,9,FALSE)</f>
        <v>#704B1C</v>
      </c>
      <c r="O306" s="4">
        <f>VLOOKUP(C306,CHECKS!A:I,6,FALSE)</f>
        <v>1.25</v>
      </c>
      <c r="P306" s="4">
        <f>VLOOKUP(C306,CHECKS!A:I,7,FALSE)</f>
        <v>4</v>
      </c>
      <c r="Q306" s="4">
        <f>VLOOKUP(C306,CHECKS!A:I,8,FALSE)</f>
        <v>7</v>
      </c>
      <c r="R306">
        <v>304</v>
      </c>
    </row>
    <row r="307" spans="1:18" x14ac:dyDescent="0.2">
      <c r="A307" s="4">
        <v>3060</v>
      </c>
      <c r="B307" s="2" t="s">
        <v>974</v>
      </c>
      <c r="C307" s="4" t="s">
        <v>1086</v>
      </c>
      <c r="D307" s="2" t="s">
        <v>1089</v>
      </c>
      <c r="E307" s="2" t="s">
        <v>1098</v>
      </c>
      <c r="F307" s="2" t="s">
        <v>1089</v>
      </c>
      <c r="G307" s="4">
        <f t="shared" si="4"/>
        <v>1</v>
      </c>
      <c r="J307" s="2" t="s">
        <v>1158</v>
      </c>
      <c r="L307" s="7">
        <v>48.869957512699997</v>
      </c>
      <c r="M307" s="7">
        <v>2.37109483973</v>
      </c>
      <c r="N307" s="4" t="str">
        <f>VLOOKUP(C307,CHECKS!A:I,9,FALSE)</f>
        <v>#704B1C</v>
      </c>
      <c r="O307" s="4">
        <f>VLOOKUP(C307,CHECKS!A:I,6,FALSE)</f>
        <v>1.25</v>
      </c>
      <c r="P307" s="4">
        <f>VLOOKUP(C307,CHECKS!A:I,7,FALSE)</f>
        <v>4</v>
      </c>
      <c r="Q307" s="4">
        <f>VLOOKUP(C307,CHECKS!A:I,8,FALSE)</f>
        <v>7</v>
      </c>
      <c r="R307">
        <v>305</v>
      </c>
    </row>
    <row r="308" spans="1:18" x14ac:dyDescent="0.2">
      <c r="A308" s="4">
        <v>3070</v>
      </c>
      <c r="B308" s="2" t="s">
        <v>975</v>
      </c>
      <c r="C308" s="4" t="s">
        <v>1086</v>
      </c>
      <c r="D308" s="2" t="s">
        <v>124</v>
      </c>
      <c r="E308" s="2" t="s">
        <v>1099</v>
      </c>
      <c r="F308" s="2" t="s">
        <v>124</v>
      </c>
      <c r="G308" s="4">
        <f t="shared" si="4"/>
        <v>2</v>
      </c>
      <c r="H308" s="2" t="s">
        <v>148</v>
      </c>
      <c r="J308" s="2" t="s">
        <v>1159</v>
      </c>
      <c r="K308" s="2" t="s">
        <v>124</v>
      </c>
      <c r="L308" s="7">
        <v>48.871848793799998</v>
      </c>
      <c r="M308" s="7">
        <v>2.3765936827399998</v>
      </c>
      <c r="N308" s="4" t="str">
        <f>VLOOKUP(C308,CHECKS!A:I,9,FALSE)</f>
        <v>#704B1C</v>
      </c>
      <c r="O308" s="4">
        <f>VLOOKUP(C308,CHECKS!A:I,6,FALSE)</f>
        <v>1.25</v>
      </c>
      <c r="P308" s="4">
        <f>VLOOKUP(C308,CHECKS!A:I,7,FALSE)</f>
        <v>4</v>
      </c>
      <c r="Q308" s="4">
        <f>VLOOKUP(C308,CHECKS!A:I,8,FALSE)</f>
        <v>7</v>
      </c>
      <c r="R308">
        <v>306</v>
      </c>
    </row>
    <row r="309" spans="1:18" x14ac:dyDescent="0.2">
      <c r="A309" s="4">
        <v>3080</v>
      </c>
      <c r="B309" s="2" t="s">
        <v>976</v>
      </c>
      <c r="C309" s="4" t="s">
        <v>1086</v>
      </c>
      <c r="D309" s="2" t="s">
        <v>1090</v>
      </c>
      <c r="E309" s="2" t="s">
        <v>1100</v>
      </c>
      <c r="F309" s="2" t="s">
        <v>1090</v>
      </c>
      <c r="G309" s="4">
        <f t="shared" si="4"/>
        <v>1</v>
      </c>
      <c r="J309" s="2" t="s">
        <v>1160</v>
      </c>
      <c r="L309" s="7">
        <v>48.8738818542</v>
      </c>
      <c r="M309" s="7">
        <v>2.3853162151</v>
      </c>
      <c r="N309" s="4" t="str">
        <f>VLOOKUP(C309,CHECKS!A:I,9,FALSE)</f>
        <v>#704B1C</v>
      </c>
      <c r="O309" s="4">
        <f>VLOOKUP(C309,CHECKS!A:I,6,FALSE)</f>
        <v>1.25</v>
      </c>
      <c r="P309" s="4">
        <f>VLOOKUP(C309,CHECKS!A:I,7,FALSE)</f>
        <v>4</v>
      </c>
      <c r="Q309" s="4">
        <f>VLOOKUP(C309,CHECKS!A:I,8,FALSE)</f>
        <v>7</v>
      </c>
      <c r="R309">
        <v>307</v>
      </c>
    </row>
    <row r="310" spans="1:18" x14ac:dyDescent="0.2">
      <c r="A310" s="4">
        <v>3090</v>
      </c>
      <c r="B310" s="2" t="s">
        <v>977</v>
      </c>
      <c r="C310" s="4" t="s">
        <v>1086</v>
      </c>
      <c r="D310" s="2" t="s">
        <v>1091</v>
      </c>
      <c r="E310" s="2" t="s">
        <v>1101</v>
      </c>
      <c r="F310" s="2" t="s">
        <v>1091</v>
      </c>
      <c r="G310" s="4">
        <f t="shared" si="4"/>
        <v>1</v>
      </c>
      <c r="J310" s="2" t="s">
        <v>1161</v>
      </c>
      <c r="L310" s="7">
        <v>48.875111816999997</v>
      </c>
      <c r="M310" s="7">
        <v>2.3894150320400001</v>
      </c>
      <c r="N310" s="4" t="str">
        <f>VLOOKUP(C310,CHECKS!A:I,9,FALSE)</f>
        <v>#704B1C</v>
      </c>
      <c r="O310" s="4">
        <f>VLOOKUP(C310,CHECKS!A:I,6,FALSE)</f>
        <v>1.25</v>
      </c>
      <c r="P310" s="4">
        <f>VLOOKUP(C310,CHECKS!A:I,7,FALSE)</f>
        <v>4</v>
      </c>
      <c r="Q310" s="4">
        <f>VLOOKUP(C310,CHECKS!A:I,8,FALSE)</f>
        <v>7</v>
      </c>
      <c r="R310">
        <v>308</v>
      </c>
    </row>
    <row r="311" spans="1:18" x14ac:dyDescent="0.2">
      <c r="A311" s="4">
        <v>3100</v>
      </c>
      <c r="B311" s="2" t="s">
        <v>978</v>
      </c>
      <c r="C311" s="4" t="s">
        <v>1086</v>
      </c>
      <c r="D311" s="2" t="s">
        <v>773</v>
      </c>
      <c r="E311" s="2" t="s">
        <v>1102</v>
      </c>
      <c r="F311" s="2" t="s">
        <v>773</v>
      </c>
      <c r="G311" s="4">
        <f t="shared" si="4"/>
        <v>2</v>
      </c>
      <c r="H311" s="2" t="s">
        <v>682</v>
      </c>
      <c r="J311" s="2" t="s">
        <v>1162</v>
      </c>
      <c r="K311" s="2" t="s">
        <v>773</v>
      </c>
      <c r="L311" s="7">
        <v>48.876806389199999</v>
      </c>
      <c r="M311" s="7">
        <v>2.3930560933199998</v>
      </c>
      <c r="N311" s="4" t="str">
        <f>VLOOKUP(C311,CHECKS!A:I,9,FALSE)</f>
        <v>#704B1C</v>
      </c>
      <c r="O311" s="4">
        <f>VLOOKUP(C311,CHECKS!A:I,6,FALSE)</f>
        <v>1.25</v>
      </c>
      <c r="P311" s="4">
        <f>VLOOKUP(C311,CHECKS!A:I,7,FALSE)</f>
        <v>4</v>
      </c>
      <c r="Q311" s="4">
        <f>VLOOKUP(C311,CHECKS!A:I,8,FALSE)</f>
        <v>7</v>
      </c>
      <c r="R311">
        <v>309</v>
      </c>
    </row>
    <row r="312" spans="1:18" x14ac:dyDescent="0.2">
      <c r="A312" s="4">
        <v>3110</v>
      </c>
      <c r="B312" s="2" t="s">
        <v>979</v>
      </c>
      <c r="C312" s="4" t="s">
        <v>1086</v>
      </c>
      <c r="D312" s="2" t="s">
        <v>1092</v>
      </c>
      <c r="E312" s="2" t="s">
        <v>1103</v>
      </c>
      <c r="F312" s="2" t="s">
        <v>1092</v>
      </c>
      <c r="G312" s="4">
        <f t="shared" si="4"/>
        <v>1</v>
      </c>
      <c r="J312" s="2" t="s">
        <v>1163</v>
      </c>
      <c r="L312" s="7">
        <v>48.875474456699997</v>
      </c>
      <c r="M312" s="7">
        <v>2.3988675938999999</v>
      </c>
      <c r="N312" s="4" t="str">
        <f>VLOOKUP(C312,CHECKS!A:I,9,FALSE)</f>
        <v>#704B1C</v>
      </c>
      <c r="O312" s="4">
        <f>VLOOKUP(C312,CHECKS!A:I,6,FALSE)</f>
        <v>1.25</v>
      </c>
      <c r="P312" s="4">
        <f>VLOOKUP(C312,CHECKS!A:I,7,FALSE)</f>
        <v>4</v>
      </c>
      <c r="Q312" s="4">
        <f>VLOOKUP(C312,CHECKS!A:I,8,FALSE)</f>
        <v>7</v>
      </c>
      <c r="R312">
        <v>310</v>
      </c>
    </row>
    <row r="313" spans="1:18" x14ac:dyDescent="0.2">
      <c r="A313" s="4">
        <v>3120</v>
      </c>
      <c r="B313" s="2" t="s">
        <v>980</v>
      </c>
      <c r="C313" s="4" t="s">
        <v>1086</v>
      </c>
      <c r="D313" s="2" t="s">
        <v>259</v>
      </c>
      <c r="E313" s="2" t="s">
        <v>1104</v>
      </c>
      <c r="F313" s="2" t="s">
        <v>259</v>
      </c>
      <c r="G313" s="4">
        <f t="shared" si="4"/>
        <v>3</v>
      </c>
      <c r="H313" s="2" t="s">
        <v>263</v>
      </c>
      <c r="I313" s="2" t="s">
        <v>1789</v>
      </c>
      <c r="J313" s="2" t="s">
        <v>1164</v>
      </c>
      <c r="K313" s="2" t="s">
        <v>259</v>
      </c>
      <c r="L313" s="7">
        <v>48.877174819300002</v>
      </c>
      <c r="M313" s="7">
        <v>2.4064801569999998</v>
      </c>
      <c r="N313" s="4" t="str">
        <f>VLOOKUP(C313,CHECKS!A:I,9,FALSE)</f>
        <v>#704B1C</v>
      </c>
      <c r="O313" s="4">
        <f>VLOOKUP(C313,CHECKS!A:I,6,FALSE)</f>
        <v>1.25</v>
      </c>
      <c r="P313" s="4">
        <f>VLOOKUP(C313,CHECKS!A:I,7,FALSE)</f>
        <v>4</v>
      </c>
      <c r="Q313" s="4">
        <f>VLOOKUP(C313,CHECKS!A:I,8,FALSE)</f>
        <v>7</v>
      </c>
      <c r="R313">
        <v>311</v>
      </c>
    </row>
    <row r="314" spans="1:18" x14ac:dyDescent="0.2">
      <c r="A314" s="4">
        <v>3130</v>
      </c>
      <c r="B314" s="2" t="s">
        <v>981</v>
      </c>
      <c r="C314" s="4" t="s">
        <v>1086</v>
      </c>
      <c r="D314" s="2" t="s">
        <v>1093</v>
      </c>
      <c r="E314" s="2" t="s">
        <v>980</v>
      </c>
      <c r="F314" s="2" t="s">
        <v>1093</v>
      </c>
      <c r="G314" s="4">
        <f t="shared" si="4"/>
        <v>1</v>
      </c>
      <c r="J314" s="2" t="s">
        <v>259</v>
      </c>
      <c r="L314" s="7">
        <v>48.879761254000002</v>
      </c>
      <c r="M314" s="7">
        <v>2.4164796436699998</v>
      </c>
      <c r="N314" s="4" t="str">
        <f>VLOOKUP(C314,CHECKS!A:I,9,FALSE)</f>
        <v>#704B1C</v>
      </c>
      <c r="O314" s="4">
        <f>VLOOKUP(C314,CHECKS!A:I,6,FALSE)</f>
        <v>1.25</v>
      </c>
      <c r="P314" s="4">
        <f>VLOOKUP(C314,CHECKS!A:I,7,FALSE)</f>
        <v>4</v>
      </c>
      <c r="Q314" s="4">
        <f>VLOOKUP(C314,CHECKS!A:I,8,FALSE)</f>
        <v>7</v>
      </c>
      <c r="R314">
        <v>312</v>
      </c>
    </row>
    <row r="315" spans="1:18" x14ac:dyDescent="0.2">
      <c r="A315" s="4">
        <v>3140</v>
      </c>
      <c r="B315" s="2" t="s">
        <v>982</v>
      </c>
      <c r="C315" s="4" t="s">
        <v>1165</v>
      </c>
      <c r="D315" s="2" t="s">
        <v>1166</v>
      </c>
      <c r="E315" s="2" t="s">
        <v>983</v>
      </c>
      <c r="F315" s="2" t="s">
        <v>1166</v>
      </c>
      <c r="G315" s="4">
        <f t="shared" si="4"/>
        <v>1</v>
      </c>
      <c r="J315" s="2" t="s">
        <v>1167</v>
      </c>
      <c r="L315" s="7">
        <v>48.906567146</v>
      </c>
      <c r="M315" s="7">
        <v>2.3659203193999998</v>
      </c>
      <c r="N315" s="4" t="str">
        <f>VLOOKUP(C315,CHECKS!A:I,9,FALSE)</f>
        <v>#007852</v>
      </c>
      <c r="O315" s="4">
        <f>VLOOKUP(C315,CHECKS!A:I,6,FALSE)</f>
        <v>1.36</v>
      </c>
      <c r="P315" s="4">
        <f>VLOOKUP(C315,CHECKS!A:I,7,FALSE)</f>
        <v>4</v>
      </c>
      <c r="Q315" s="4">
        <f>VLOOKUP(C315,CHECKS!A:I,8,FALSE)</f>
        <v>7</v>
      </c>
      <c r="R315">
        <v>313</v>
      </c>
    </row>
    <row r="316" spans="1:18" x14ac:dyDescent="0.2">
      <c r="A316" s="4">
        <v>3150</v>
      </c>
      <c r="B316" s="2" t="s">
        <v>983</v>
      </c>
      <c r="C316" s="4" t="s">
        <v>1165</v>
      </c>
      <c r="D316" s="2" t="s">
        <v>1167</v>
      </c>
      <c r="E316" s="2" t="s">
        <v>1189</v>
      </c>
      <c r="F316" s="2" t="s">
        <v>1167</v>
      </c>
      <c r="G316" s="4">
        <f t="shared" si="4"/>
        <v>2</v>
      </c>
      <c r="I316" s="2" t="s">
        <v>1811</v>
      </c>
      <c r="J316" s="2" t="s">
        <v>1300</v>
      </c>
      <c r="L316" s="7">
        <v>48.897245288100002</v>
      </c>
      <c r="M316" s="7">
        <v>2.3595078688200002</v>
      </c>
      <c r="N316" s="4" t="str">
        <f>VLOOKUP(C316,CHECKS!A:I,9,FALSE)</f>
        <v>#007852</v>
      </c>
      <c r="O316" s="4">
        <f>VLOOKUP(C316,CHECKS!A:I,6,FALSE)</f>
        <v>1.36</v>
      </c>
      <c r="P316" s="4">
        <f>VLOOKUP(C316,CHECKS!A:I,7,FALSE)</f>
        <v>4</v>
      </c>
      <c r="Q316" s="4">
        <f>VLOOKUP(C316,CHECKS!A:I,8,FALSE)</f>
        <v>7</v>
      </c>
      <c r="R316">
        <v>314</v>
      </c>
    </row>
    <row r="317" spans="1:18" x14ac:dyDescent="0.2">
      <c r="A317" s="4">
        <v>3160</v>
      </c>
      <c r="B317" s="2" t="s">
        <v>984</v>
      </c>
      <c r="C317" s="4" t="s">
        <v>1165</v>
      </c>
      <c r="D317" s="2" t="s">
        <v>1168</v>
      </c>
      <c r="E317" s="2" t="s">
        <v>1190</v>
      </c>
      <c r="F317" s="2" t="s">
        <v>1168</v>
      </c>
      <c r="G317" s="4">
        <f t="shared" si="4"/>
        <v>1</v>
      </c>
      <c r="J317" s="2" t="s">
        <v>1301</v>
      </c>
      <c r="L317" s="7">
        <v>48.890485453799997</v>
      </c>
      <c r="M317" s="7">
        <v>2.35999576641</v>
      </c>
      <c r="N317" s="4" t="str">
        <f>VLOOKUP(C317,CHECKS!A:I,9,FALSE)</f>
        <v>#007852</v>
      </c>
      <c r="O317" s="4">
        <f>VLOOKUP(C317,CHECKS!A:I,6,FALSE)</f>
        <v>1.36</v>
      </c>
      <c r="P317" s="4">
        <f>VLOOKUP(C317,CHECKS!A:I,7,FALSE)</f>
        <v>4</v>
      </c>
      <c r="Q317" s="4">
        <f>VLOOKUP(C317,CHECKS!A:I,8,FALSE)</f>
        <v>7</v>
      </c>
      <c r="R317">
        <v>315</v>
      </c>
    </row>
    <row r="318" spans="1:18" x14ac:dyDescent="0.2">
      <c r="A318" s="4">
        <v>3170</v>
      </c>
      <c r="B318" s="2" t="s">
        <v>985</v>
      </c>
      <c r="C318" s="4" t="s">
        <v>1165</v>
      </c>
      <c r="D318" s="2" t="s">
        <v>308</v>
      </c>
      <c r="E318" s="2" t="s">
        <v>1191</v>
      </c>
      <c r="F318" s="2" t="s">
        <v>308</v>
      </c>
      <c r="G318" s="4">
        <f t="shared" si="4"/>
        <v>2</v>
      </c>
      <c r="H318" s="2" t="s">
        <v>281</v>
      </c>
      <c r="J318" s="2" t="s">
        <v>1302</v>
      </c>
      <c r="K318" s="2" t="s">
        <v>308</v>
      </c>
      <c r="L318" s="7">
        <v>48.891465000300002</v>
      </c>
      <c r="M318" s="7">
        <v>2.3498154518500001</v>
      </c>
      <c r="N318" s="4" t="str">
        <f>VLOOKUP(C318,CHECKS!A:I,9,FALSE)</f>
        <v>#007852</v>
      </c>
      <c r="O318" s="4">
        <f>VLOOKUP(C318,CHECKS!A:I,6,FALSE)</f>
        <v>1.36</v>
      </c>
      <c r="P318" s="4">
        <f>VLOOKUP(C318,CHECKS!A:I,7,FALSE)</f>
        <v>4</v>
      </c>
      <c r="Q318" s="4">
        <f>VLOOKUP(C318,CHECKS!A:I,8,FALSE)</f>
        <v>7</v>
      </c>
      <c r="R318">
        <v>316</v>
      </c>
    </row>
    <row r="319" spans="1:18" x14ac:dyDescent="0.2">
      <c r="A319" s="4">
        <v>3180</v>
      </c>
      <c r="B319" s="2" t="s">
        <v>986</v>
      </c>
      <c r="C319" s="4" t="s">
        <v>1165</v>
      </c>
      <c r="D319" s="2" t="s">
        <v>1169</v>
      </c>
      <c r="E319" s="2" t="s">
        <v>1192</v>
      </c>
      <c r="F319" s="2" t="s">
        <v>1169</v>
      </c>
      <c r="G319" s="4">
        <f t="shared" si="4"/>
        <v>1</v>
      </c>
      <c r="J319" s="2" t="s">
        <v>1303</v>
      </c>
      <c r="L319" s="7">
        <v>48.892439590499997</v>
      </c>
      <c r="M319" s="7">
        <v>2.3446570041300001</v>
      </c>
      <c r="N319" s="4" t="str">
        <f>VLOOKUP(C319,CHECKS!A:I,9,FALSE)</f>
        <v>#007852</v>
      </c>
      <c r="O319" s="4">
        <f>VLOOKUP(C319,CHECKS!A:I,6,FALSE)</f>
        <v>1.36</v>
      </c>
      <c r="P319" s="4">
        <f>VLOOKUP(C319,CHECKS!A:I,7,FALSE)</f>
        <v>4</v>
      </c>
      <c r="Q319" s="4">
        <f>VLOOKUP(C319,CHECKS!A:I,8,FALSE)</f>
        <v>7</v>
      </c>
      <c r="R319">
        <v>317</v>
      </c>
    </row>
    <row r="320" spans="1:18" x14ac:dyDescent="0.2">
      <c r="A320" s="4">
        <v>3190</v>
      </c>
      <c r="B320" s="2" t="s">
        <v>987</v>
      </c>
      <c r="C320" s="4" t="s">
        <v>1165</v>
      </c>
      <c r="D320" s="2" t="s">
        <v>1170</v>
      </c>
      <c r="E320" s="2" t="s">
        <v>1193</v>
      </c>
      <c r="F320" s="2" t="s">
        <v>1170</v>
      </c>
      <c r="G320" s="4">
        <f t="shared" si="4"/>
        <v>1</v>
      </c>
      <c r="J320" s="2" t="s">
        <v>1304</v>
      </c>
      <c r="L320" s="7">
        <v>48.889674071199998</v>
      </c>
      <c r="M320" s="7">
        <v>2.3387606492000002</v>
      </c>
      <c r="N320" s="4" t="str">
        <f>VLOOKUP(C320,CHECKS!A:I,9,FALSE)</f>
        <v>#007852</v>
      </c>
      <c r="O320" s="4">
        <f>VLOOKUP(C320,CHECKS!A:I,6,FALSE)</f>
        <v>1.36</v>
      </c>
      <c r="P320" s="4">
        <f>VLOOKUP(C320,CHECKS!A:I,7,FALSE)</f>
        <v>4</v>
      </c>
      <c r="Q320" s="4">
        <f>VLOOKUP(C320,CHECKS!A:I,8,FALSE)</f>
        <v>7</v>
      </c>
      <c r="R320">
        <v>318</v>
      </c>
    </row>
    <row r="321" spans="1:18" x14ac:dyDescent="0.2">
      <c r="A321" s="4">
        <v>3200</v>
      </c>
      <c r="B321" s="2" t="s">
        <v>988</v>
      </c>
      <c r="C321" s="4" t="s">
        <v>1165</v>
      </c>
      <c r="D321" s="2" t="s">
        <v>1171</v>
      </c>
      <c r="E321" s="2" t="s">
        <v>1194</v>
      </c>
      <c r="F321" s="2" t="s">
        <v>1171</v>
      </c>
      <c r="G321" s="4">
        <f t="shared" si="4"/>
        <v>1</v>
      </c>
      <c r="J321" s="2" t="s">
        <v>1305</v>
      </c>
      <c r="L321" s="7">
        <v>48.884594208000003</v>
      </c>
      <c r="M321" s="7">
        <v>2.33794977706</v>
      </c>
      <c r="N321" s="4" t="str">
        <f>VLOOKUP(C321,CHECKS!A:I,9,FALSE)</f>
        <v>#007852</v>
      </c>
      <c r="O321" s="4">
        <f>VLOOKUP(C321,CHECKS!A:I,6,FALSE)</f>
        <v>1.36</v>
      </c>
      <c r="P321" s="4">
        <f>VLOOKUP(C321,CHECKS!A:I,7,FALSE)</f>
        <v>4</v>
      </c>
      <c r="Q321" s="4">
        <f>VLOOKUP(C321,CHECKS!A:I,8,FALSE)</f>
        <v>7</v>
      </c>
      <c r="R321">
        <v>319</v>
      </c>
    </row>
    <row r="322" spans="1:18" x14ac:dyDescent="0.2">
      <c r="A322" s="4">
        <v>3210</v>
      </c>
      <c r="B322" s="2" t="s">
        <v>989</v>
      </c>
      <c r="C322" s="4" t="s">
        <v>1165</v>
      </c>
      <c r="D322" s="2" t="s">
        <v>117</v>
      </c>
      <c r="E322" s="2" t="s">
        <v>1195</v>
      </c>
      <c r="F322" s="2" t="s">
        <v>117</v>
      </c>
      <c r="G322" s="4">
        <f t="shared" ref="G322:G385" si="5">COUNTIF(F:F,F322)</f>
        <v>2</v>
      </c>
      <c r="H322" s="2" t="s">
        <v>141</v>
      </c>
      <c r="J322" s="2" t="s">
        <v>1306</v>
      </c>
      <c r="K322" s="2" t="s">
        <v>117</v>
      </c>
      <c r="L322" s="7">
        <v>48.882519385599998</v>
      </c>
      <c r="M322" s="7">
        <v>2.33708168251</v>
      </c>
      <c r="N322" s="4" t="str">
        <f>VLOOKUP(C322,CHECKS!A:I,9,FALSE)</f>
        <v>#007852</v>
      </c>
      <c r="O322" s="4">
        <f>VLOOKUP(C322,CHECKS!A:I,6,FALSE)</f>
        <v>1.36</v>
      </c>
      <c r="P322" s="4">
        <f>VLOOKUP(C322,CHECKS!A:I,7,FALSE)</f>
        <v>4</v>
      </c>
      <c r="Q322" s="4">
        <f>VLOOKUP(C322,CHECKS!A:I,8,FALSE)</f>
        <v>7</v>
      </c>
      <c r="R322">
        <v>320</v>
      </c>
    </row>
    <row r="323" spans="1:18" x14ac:dyDescent="0.2">
      <c r="A323" s="4">
        <v>3220</v>
      </c>
      <c r="B323" s="2" t="s">
        <v>990</v>
      </c>
      <c r="C323" s="4" t="s">
        <v>1165</v>
      </c>
      <c r="D323" s="2" t="s">
        <v>1172</v>
      </c>
      <c r="E323" s="2" t="s">
        <v>1196</v>
      </c>
      <c r="F323" s="2" t="s">
        <v>1172</v>
      </c>
      <c r="G323" s="4">
        <f t="shared" si="5"/>
        <v>1</v>
      </c>
      <c r="J323" s="2" t="s">
        <v>1307</v>
      </c>
      <c r="L323" s="7">
        <v>48.8784252576</v>
      </c>
      <c r="M323" s="7">
        <v>2.3375950828200001</v>
      </c>
      <c r="N323" s="4" t="str">
        <f>VLOOKUP(C323,CHECKS!A:I,9,FALSE)</f>
        <v>#007852</v>
      </c>
      <c r="O323" s="4">
        <f>VLOOKUP(C323,CHECKS!A:I,6,FALSE)</f>
        <v>1.36</v>
      </c>
      <c r="P323" s="4">
        <f>VLOOKUP(C323,CHECKS!A:I,7,FALSE)</f>
        <v>4</v>
      </c>
      <c r="Q323" s="4">
        <f>VLOOKUP(C323,CHECKS!A:I,8,FALSE)</f>
        <v>7</v>
      </c>
      <c r="R323">
        <v>321</v>
      </c>
    </row>
    <row r="324" spans="1:18" x14ac:dyDescent="0.2">
      <c r="A324" s="4">
        <v>3230</v>
      </c>
      <c r="B324" s="2" t="s">
        <v>991</v>
      </c>
      <c r="C324" s="4" t="s">
        <v>1165</v>
      </c>
      <c r="D324" s="2" t="s">
        <v>1173</v>
      </c>
      <c r="E324" s="2" t="s">
        <v>1197</v>
      </c>
      <c r="F324" s="2" t="s">
        <v>1173</v>
      </c>
      <c r="G324" s="4">
        <f t="shared" si="5"/>
        <v>1</v>
      </c>
      <c r="J324" s="2" t="s">
        <v>1308</v>
      </c>
      <c r="L324" s="7">
        <v>48.876026211599999</v>
      </c>
      <c r="M324" s="7">
        <v>2.3378864890700002</v>
      </c>
      <c r="N324" s="4" t="str">
        <f>VLOOKUP(C324,CHECKS!A:I,9,FALSE)</f>
        <v>#007852</v>
      </c>
      <c r="O324" s="4">
        <f>VLOOKUP(C324,CHECKS!A:I,6,FALSE)</f>
        <v>1.36</v>
      </c>
      <c r="P324" s="4">
        <f>VLOOKUP(C324,CHECKS!A:I,7,FALSE)</f>
        <v>4</v>
      </c>
      <c r="Q324" s="4">
        <f>VLOOKUP(C324,CHECKS!A:I,8,FALSE)</f>
        <v>7</v>
      </c>
      <c r="R324">
        <v>322</v>
      </c>
    </row>
    <row r="325" spans="1:18" x14ac:dyDescent="0.2">
      <c r="A325" s="4">
        <v>3240</v>
      </c>
      <c r="B325" s="2" t="s">
        <v>992</v>
      </c>
      <c r="C325" s="4" t="s">
        <v>1165</v>
      </c>
      <c r="D325" s="2" t="s">
        <v>1174</v>
      </c>
      <c r="E325" s="2" t="s">
        <v>1198</v>
      </c>
      <c r="F325" s="2" t="s">
        <v>1174</v>
      </c>
      <c r="G325" s="4">
        <f t="shared" si="5"/>
        <v>1</v>
      </c>
      <c r="J325" s="2" t="s">
        <v>1309</v>
      </c>
      <c r="L325" s="7">
        <v>48.8763179623</v>
      </c>
      <c r="M325" s="7">
        <v>2.3325430272999998</v>
      </c>
      <c r="N325" s="4" t="str">
        <f>VLOOKUP(C325,CHECKS!A:I,9,FALSE)</f>
        <v>#007852</v>
      </c>
      <c r="O325" s="4">
        <f>VLOOKUP(C325,CHECKS!A:I,6,FALSE)</f>
        <v>1.36</v>
      </c>
      <c r="P325" s="4">
        <f>VLOOKUP(C325,CHECKS!A:I,7,FALSE)</f>
        <v>4</v>
      </c>
      <c r="Q325" s="4">
        <f>VLOOKUP(C325,CHECKS!A:I,8,FALSE)</f>
        <v>7</v>
      </c>
      <c r="R325">
        <v>323</v>
      </c>
    </row>
    <row r="326" spans="1:18" x14ac:dyDescent="0.2">
      <c r="A326" s="4">
        <v>3250</v>
      </c>
      <c r="B326" s="2" t="s">
        <v>993</v>
      </c>
      <c r="C326" s="4" t="s">
        <v>1165</v>
      </c>
      <c r="D326" s="2" t="s">
        <v>235</v>
      </c>
      <c r="E326" s="2" t="s">
        <v>1199</v>
      </c>
      <c r="F326" s="2" t="s">
        <v>235</v>
      </c>
      <c r="G326" s="4">
        <f t="shared" si="5"/>
        <v>4</v>
      </c>
      <c r="H326" s="2" t="s">
        <v>1426</v>
      </c>
      <c r="J326" s="2" t="s">
        <v>1310</v>
      </c>
      <c r="K326" s="2" t="s">
        <v>1441</v>
      </c>
      <c r="L326" s="7">
        <v>48.875453770500002</v>
      </c>
      <c r="M326" s="7">
        <v>2.3267852002599998</v>
      </c>
      <c r="N326" s="4" t="str">
        <f>VLOOKUP(C326,CHECKS!A:I,9,FALSE)</f>
        <v>#007852</v>
      </c>
      <c r="O326" s="4">
        <f>VLOOKUP(C326,CHECKS!A:I,6,FALSE)</f>
        <v>1.36</v>
      </c>
      <c r="P326" s="4">
        <f>VLOOKUP(C326,CHECKS!A:I,7,FALSE)</f>
        <v>4</v>
      </c>
      <c r="Q326" s="4">
        <f>VLOOKUP(C326,CHECKS!A:I,8,FALSE)</f>
        <v>7</v>
      </c>
      <c r="R326">
        <v>324</v>
      </c>
    </row>
    <row r="327" spans="1:18" x14ac:dyDescent="0.2">
      <c r="A327" s="4">
        <v>3260</v>
      </c>
      <c r="B327" s="2" t="s">
        <v>994</v>
      </c>
      <c r="C327" s="4" t="s">
        <v>1165</v>
      </c>
      <c r="D327" s="2" t="s">
        <v>798</v>
      </c>
      <c r="E327" s="2" t="s">
        <v>1200</v>
      </c>
      <c r="F327" s="2" t="s">
        <v>798</v>
      </c>
      <c r="G327" s="4">
        <f t="shared" si="5"/>
        <v>3</v>
      </c>
      <c r="H327" s="2" t="s">
        <v>1406</v>
      </c>
      <c r="J327" s="2" t="s">
        <v>1311</v>
      </c>
      <c r="K327" s="2" t="s">
        <v>1449</v>
      </c>
      <c r="L327" s="7">
        <v>48.8700997328</v>
      </c>
      <c r="M327" s="7">
        <v>2.3251641095400002</v>
      </c>
      <c r="N327" s="4" t="str">
        <f>VLOOKUP(C327,CHECKS!A:I,9,FALSE)</f>
        <v>#007852</v>
      </c>
      <c r="O327" s="4">
        <f>VLOOKUP(C327,CHECKS!A:I,6,FALSE)</f>
        <v>1.36</v>
      </c>
      <c r="P327" s="4">
        <f>VLOOKUP(C327,CHECKS!A:I,7,FALSE)</f>
        <v>4</v>
      </c>
      <c r="Q327" s="4">
        <f>VLOOKUP(C327,CHECKS!A:I,8,FALSE)</f>
        <v>7</v>
      </c>
      <c r="R327">
        <v>325</v>
      </c>
    </row>
    <row r="328" spans="1:18" x14ac:dyDescent="0.2">
      <c r="A328" s="4">
        <v>3270</v>
      </c>
      <c r="B328" s="2" t="s">
        <v>995</v>
      </c>
      <c r="C328" s="4" t="s">
        <v>1165</v>
      </c>
      <c r="D328" s="2" t="s">
        <v>17</v>
      </c>
      <c r="E328" s="2" t="s">
        <v>1201</v>
      </c>
      <c r="F328" s="2" t="s">
        <v>17</v>
      </c>
      <c r="G328" s="4">
        <f t="shared" si="5"/>
        <v>3</v>
      </c>
      <c r="H328" s="2" t="s">
        <v>1395</v>
      </c>
      <c r="J328" s="2" t="s">
        <v>1312</v>
      </c>
      <c r="K328" s="2" t="s">
        <v>1435</v>
      </c>
      <c r="L328" s="7">
        <v>48.866167114900001</v>
      </c>
      <c r="M328" s="7">
        <v>2.3231756808599999</v>
      </c>
      <c r="N328" s="4" t="str">
        <f>VLOOKUP(C328,CHECKS!A:I,9,FALSE)</f>
        <v>#007852</v>
      </c>
      <c r="O328" s="4">
        <f>VLOOKUP(C328,CHECKS!A:I,6,FALSE)</f>
        <v>1.36</v>
      </c>
      <c r="P328" s="4">
        <f>VLOOKUP(C328,CHECKS!A:I,7,FALSE)</f>
        <v>4</v>
      </c>
      <c r="Q328" s="4">
        <f>VLOOKUP(C328,CHECKS!A:I,8,FALSE)</f>
        <v>7</v>
      </c>
      <c r="R328">
        <v>326</v>
      </c>
    </row>
    <row r="329" spans="1:18" x14ac:dyDescent="0.2">
      <c r="A329" s="4">
        <v>3280</v>
      </c>
      <c r="B329" s="2" t="s">
        <v>996</v>
      </c>
      <c r="C329" s="4" t="s">
        <v>1165</v>
      </c>
      <c r="D329" s="2" t="s">
        <v>1175</v>
      </c>
      <c r="E329" s="2" t="s">
        <v>1202</v>
      </c>
      <c r="F329" s="2" t="s">
        <v>1175</v>
      </c>
      <c r="G329" s="4">
        <f t="shared" si="5"/>
        <v>1</v>
      </c>
      <c r="J329" s="2" t="s">
        <v>1313</v>
      </c>
      <c r="L329" s="7">
        <v>48.860786963499997</v>
      </c>
      <c r="M329" s="7">
        <v>2.3209981919499998</v>
      </c>
      <c r="N329" s="4" t="str">
        <f>VLOOKUP(C329,CHECKS!A:I,9,FALSE)</f>
        <v>#007852</v>
      </c>
      <c r="O329" s="4">
        <f>VLOOKUP(C329,CHECKS!A:I,6,FALSE)</f>
        <v>1.36</v>
      </c>
      <c r="P329" s="4">
        <f>VLOOKUP(C329,CHECKS!A:I,7,FALSE)</f>
        <v>4</v>
      </c>
      <c r="Q329" s="4">
        <f>VLOOKUP(C329,CHECKS!A:I,8,FALSE)</f>
        <v>7</v>
      </c>
      <c r="R329">
        <v>327</v>
      </c>
    </row>
    <row r="330" spans="1:18" x14ac:dyDescent="0.2">
      <c r="A330" s="4">
        <v>3290</v>
      </c>
      <c r="B330" s="2" t="s">
        <v>997</v>
      </c>
      <c r="C330" s="4" t="s">
        <v>1165</v>
      </c>
      <c r="D330" s="2" t="s">
        <v>1176</v>
      </c>
      <c r="E330" s="2" t="s">
        <v>1203</v>
      </c>
      <c r="F330" s="2" t="s">
        <v>1176</v>
      </c>
      <c r="G330" s="4">
        <f t="shared" si="5"/>
        <v>1</v>
      </c>
      <c r="J330" s="2" t="s">
        <v>1314</v>
      </c>
      <c r="L330" s="7">
        <v>48.858511129900002</v>
      </c>
      <c r="M330" s="7">
        <v>2.3231548558399999</v>
      </c>
      <c r="N330" s="4" t="str">
        <f>VLOOKUP(C330,CHECKS!A:I,9,FALSE)</f>
        <v>#007852</v>
      </c>
      <c r="O330" s="4">
        <f>VLOOKUP(C330,CHECKS!A:I,6,FALSE)</f>
        <v>1.36</v>
      </c>
      <c r="P330" s="4">
        <f>VLOOKUP(C330,CHECKS!A:I,7,FALSE)</f>
        <v>4</v>
      </c>
      <c r="Q330" s="4">
        <f>VLOOKUP(C330,CHECKS!A:I,8,FALSE)</f>
        <v>7</v>
      </c>
      <c r="R330">
        <v>328</v>
      </c>
    </row>
    <row r="331" spans="1:18" x14ac:dyDescent="0.2">
      <c r="A331" s="4">
        <v>3300</v>
      </c>
      <c r="B331" s="2" t="s">
        <v>998</v>
      </c>
      <c r="C331" s="4" t="s">
        <v>1165</v>
      </c>
      <c r="D331" s="2" t="s">
        <v>1177</v>
      </c>
      <c r="E331" s="2" t="s">
        <v>1204</v>
      </c>
      <c r="F331" s="2" t="s">
        <v>1177</v>
      </c>
      <c r="G331" s="4">
        <f t="shared" si="5"/>
        <v>1</v>
      </c>
      <c r="J331" s="2" t="s">
        <v>1315</v>
      </c>
      <c r="L331" s="7">
        <v>48.855550940199997</v>
      </c>
      <c r="M331" s="7">
        <v>2.3257124221700001</v>
      </c>
      <c r="N331" s="4" t="str">
        <f>VLOOKUP(C331,CHECKS!A:I,9,FALSE)</f>
        <v>#007852</v>
      </c>
      <c r="O331" s="4">
        <f>VLOOKUP(C331,CHECKS!A:I,6,FALSE)</f>
        <v>1.36</v>
      </c>
      <c r="P331" s="4">
        <f>VLOOKUP(C331,CHECKS!A:I,7,FALSE)</f>
        <v>4</v>
      </c>
      <c r="Q331" s="4">
        <f>VLOOKUP(C331,CHECKS!A:I,8,FALSE)</f>
        <v>7</v>
      </c>
      <c r="R331">
        <v>329</v>
      </c>
    </row>
    <row r="332" spans="1:18" x14ac:dyDescent="0.2">
      <c r="A332" s="4">
        <v>3310</v>
      </c>
      <c r="B332" s="2" t="s">
        <v>999</v>
      </c>
      <c r="C332" s="4" t="s">
        <v>1165</v>
      </c>
      <c r="D332" s="2" t="s">
        <v>1178</v>
      </c>
      <c r="E332" s="2" t="s">
        <v>1205</v>
      </c>
      <c r="F332" s="2" t="s">
        <v>1178</v>
      </c>
      <c r="G332" s="4">
        <f t="shared" si="5"/>
        <v>2</v>
      </c>
      <c r="H332" s="2" t="s">
        <v>961</v>
      </c>
      <c r="J332" s="2" t="s">
        <v>1316</v>
      </c>
      <c r="K332" s="2" t="s">
        <v>1178</v>
      </c>
      <c r="L332" s="7">
        <v>48.8517620525</v>
      </c>
      <c r="M332" s="7">
        <v>2.3268225688999999</v>
      </c>
      <c r="N332" s="4" t="str">
        <f>VLOOKUP(C332,CHECKS!A:I,9,FALSE)</f>
        <v>#007852</v>
      </c>
      <c r="O332" s="4">
        <f>VLOOKUP(C332,CHECKS!A:I,6,FALSE)</f>
        <v>1.36</v>
      </c>
      <c r="P332" s="4">
        <f>VLOOKUP(C332,CHECKS!A:I,7,FALSE)</f>
        <v>4</v>
      </c>
      <c r="Q332" s="4">
        <f>VLOOKUP(C332,CHECKS!A:I,8,FALSE)</f>
        <v>7</v>
      </c>
      <c r="R332">
        <v>330</v>
      </c>
    </row>
    <row r="333" spans="1:18" x14ac:dyDescent="0.2">
      <c r="A333" s="4">
        <v>3320</v>
      </c>
      <c r="B333" s="2" t="s">
        <v>1000</v>
      </c>
      <c r="C333" s="4" t="s">
        <v>1165</v>
      </c>
      <c r="D333" s="2" t="s">
        <v>1179</v>
      </c>
      <c r="E333" s="2" t="s">
        <v>1206</v>
      </c>
      <c r="F333" s="2" t="s">
        <v>1179</v>
      </c>
      <c r="G333" s="4">
        <f t="shared" si="5"/>
        <v>1</v>
      </c>
      <c r="J333" s="2" t="s">
        <v>1317</v>
      </c>
      <c r="L333" s="7">
        <v>48.848457848499997</v>
      </c>
      <c r="M333" s="7">
        <v>2.3277821271499999</v>
      </c>
      <c r="N333" s="4" t="str">
        <f>VLOOKUP(C333,CHECKS!A:I,9,FALSE)</f>
        <v>#007852</v>
      </c>
      <c r="O333" s="4">
        <f>VLOOKUP(C333,CHECKS!A:I,6,FALSE)</f>
        <v>1.36</v>
      </c>
      <c r="P333" s="4">
        <f>VLOOKUP(C333,CHECKS!A:I,7,FALSE)</f>
        <v>4</v>
      </c>
      <c r="Q333" s="4">
        <f>VLOOKUP(C333,CHECKS!A:I,8,FALSE)</f>
        <v>7</v>
      </c>
      <c r="R333">
        <v>331</v>
      </c>
    </row>
    <row r="334" spans="1:18" x14ac:dyDescent="0.2">
      <c r="A334" s="4">
        <v>3330</v>
      </c>
      <c r="B334" s="2" t="s">
        <v>1001</v>
      </c>
      <c r="C334" s="4" t="s">
        <v>1165</v>
      </c>
      <c r="D334" s="2" t="s">
        <v>1180</v>
      </c>
      <c r="E334" s="2" t="s">
        <v>1207</v>
      </c>
      <c r="F334" s="2" t="s">
        <v>1180</v>
      </c>
      <c r="G334" s="4">
        <f t="shared" si="5"/>
        <v>1</v>
      </c>
      <c r="J334" s="2" t="s">
        <v>1318</v>
      </c>
      <c r="L334" s="7">
        <v>48.8449426325</v>
      </c>
      <c r="M334" s="7">
        <v>2.3287780268999998</v>
      </c>
      <c r="N334" s="4" t="str">
        <f>VLOOKUP(C334,CHECKS!A:I,9,FALSE)</f>
        <v>#007852</v>
      </c>
      <c r="O334" s="4">
        <f>VLOOKUP(C334,CHECKS!A:I,6,FALSE)</f>
        <v>1.36</v>
      </c>
      <c r="P334" s="4">
        <f>VLOOKUP(C334,CHECKS!A:I,7,FALSE)</f>
        <v>4</v>
      </c>
      <c r="Q334" s="4">
        <f>VLOOKUP(C334,CHECKS!A:I,8,FALSE)</f>
        <v>7</v>
      </c>
      <c r="R334">
        <v>332</v>
      </c>
    </row>
    <row r="335" spans="1:18" x14ac:dyDescent="0.2">
      <c r="A335" s="4">
        <v>3340</v>
      </c>
      <c r="B335" s="2" t="s">
        <v>1002</v>
      </c>
      <c r="C335" s="4" t="s">
        <v>1165</v>
      </c>
      <c r="D335" s="2" t="s">
        <v>322</v>
      </c>
      <c r="E335" s="2" t="s">
        <v>1208</v>
      </c>
      <c r="F335" s="2" t="s">
        <v>322</v>
      </c>
      <c r="G335" s="4">
        <f t="shared" si="5"/>
        <v>4</v>
      </c>
      <c r="H335" s="2" t="s">
        <v>1409</v>
      </c>
      <c r="J335" s="2" t="s">
        <v>1319</v>
      </c>
      <c r="K335" s="2" t="s">
        <v>1446</v>
      </c>
      <c r="L335" s="7">
        <v>48.843735489300002</v>
      </c>
      <c r="M335" s="7">
        <v>2.3243530411600002</v>
      </c>
      <c r="N335" s="4" t="str">
        <f>VLOOKUP(C335,CHECKS!A:I,9,FALSE)</f>
        <v>#007852</v>
      </c>
      <c r="O335" s="4">
        <f>VLOOKUP(C335,CHECKS!A:I,6,FALSE)</f>
        <v>1.36</v>
      </c>
      <c r="P335" s="4">
        <f>VLOOKUP(C335,CHECKS!A:I,7,FALSE)</f>
        <v>4</v>
      </c>
      <c r="Q335" s="4">
        <f>VLOOKUP(C335,CHECKS!A:I,8,FALSE)</f>
        <v>7</v>
      </c>
      <c r="R335">
        <v>333</v>
      </c>
    </row>
    <row r="336" spans="1:18" x14ac:dyDescent="0.2">
      <c r="A336" s="4">
        <v>3350</v>
      </c>
      <c r="B336" s="2" t="s">
        <v>1003</v>
      </c>
      <c r="C336" s="4" t="s">
        <v>1165</v>
      </c>
      <c r="D336" s="2" t="s">
        <v>1181</v>
      </c>
      <c r="E336" s="2" t="s">
        <v>1209</v>
      </c>
      <c r="F336" s="2" t="s">
        <v>1181</v>
      </c>
      <c r="G336" s="4">
        <f t="shared" si="5"/>
        <v>1</v>
      </c>
      <c r="J336" s="2" t="s">
        <v>1320</v>
      </c>
      <c r="L336" s="7">
        <v>48.8444701413</v>
      </c>
      <c r="M336" s="7">
        <v>2.3178527830400002</v>
      </c>
      <c r="N336" s="4" t="str">
        <f>VLOOKUP(C336,CHECKS!A:I,9,FALSE)</f>
        <v>#007852</v>
      </c>
      <c r="O336" s="4">
        <f>VLOOKUP(C336,CHECKS!A:I,6,FALSE)</f>
        <v>1.36</v>
      </c>
      <c r="P336" s="4">
        <f>VLOOKUP(C336,CHECKS!A:I,7,FALSE)</f>
        <v>4</v>
      </c>
      <c r="Q336" s="4">
        <f>VLOOKUP(C336,CHECKS!A:I,8,FALSE)</f>
        <v>7</v>
      </c>
      <c r="R336">
        <v>334</v>
      </c>
    </row>
    <row r="337" spans="1:18" x14ac:dyDescent="0.2">
      <c r="A337" s="4">
        <v>3360</v>
      </c>
      <c r="B337" s="2" t="s">
        <v>1004</v>
      </c>
      <c r="C337" s="4" t="s">
        <v>1165</v>
      </c>
      <c r="D337" s="2" t="s">
        <v>429</v>
      </c>
      <c r="E337" s="2" t="s">
        <v>1210</v>
      </c>
      <c r="F337" s="2" t="s">
        <v>429</v>
      </c>
      <c r="G337" s="4">
        <f t="shared" si="5"/>
        <v>2</v>
      </c>
      <c r="H337" s="2" t="s">
        <v>458</v>
      </c>
      <c r="J337" s="2" t="s">
        <v>1321</v>
      </c>
      <c r="K337" s="2" t="s">
        <v>429</v>
      </c>
      <c r="L337" s="7">
        <v>48.842871275</v>
      </c>
      <c r="M337" s="7">
        <v>2.31244751307</v>
      </c>
      <c r="N337" s="4" t="str">
        <f>VLOOKUP(C337,CHECKS!A:I,9,FALSE)</f>
        <v>#007852</v>
      </c>
      <c r="O337" s="4">
        <f>VLOOKUP(C337,CHECKS!A:I,6,FALSE)</f>
        <v>1.36</v>
      </c>
      <c r="P337" s="4">
        <f>VLOOKUP(C337,CHECKS!A:I,7,FALSE)</f>
        <v>4</v>
      </c>
      <c r="Q337" s="4">
        <f>VLOOKUP(C337,CHECKS!A:I,8,FALSE)</f>
        <v>7</v>
      </c>
      <c r="R337">
        <v>335</v>
      </c>
    </row>
    <row r="338" spans="1:18" x14ac:dyDescent="0.2">
      <c r="A338" s="4">
        <v>3370</v>
      </c>
      <c r="B338" s="2" t="s">
        <v>1005</v>
      </c>
      <c r="C338" s="4" t="s">
        <v>1165</v>
      </c>
      <c r="D338" s="2" t="s">
        <v>1182</v>
      </c>
      <c r="E338" s="2" t="s">
        <v>1211</v>
      </c>
      <c r="F338" s="2" t="s">
        <v>1182</v>
      </c>
      <c r="G338" s="4">
        <f t="shared" si="5"/>
        <v>1</v>
      </c>
      <c r="J338" s="2" t="s">
        <v>1322</v>
      </c>
      <c r="L338" s="7">
        <v>48.841505522399999</v>
      </c>
      <c r="M338" s="7">
        <v>2.3079486793399999</v>
      </c>
      <c r="N338" s="4" t="str">
        <f>VLOOKUP(C338,CHECKS!A:I,9,FALSE)</f>
        <v>#007852</v>
      </c>
      <c r="O338" s="4">
        <f>VLOOKUP(C338,CHECKS!A:I,6,FALSE)</f>
        <v>1.36</v>
      </c>
      <c r="P338" s="4">
        <f>VLOOKUP(C338,CHECKS!A:I,7,FALSE)</f>
        <v>4</v>
      </c>
      <c r="Q338" s="4">
        <f>VLOOKUP(C338,CHECKS!A:I,8,FALSE)</f>
        <v>7</v>
      </c>
      <c r="R338">
        <v>336</v>
      </c>
    </row>
    <row r="339" spans="1:18" x14ac:dyDescent="0.2">
      <c r="A339" s="4">
        <v>3380</v>
      </c>
      <c r="B339" s="2" t="s">
        <v>1006</v>
      </c>
      <c r="C339" s="4" t="s">
        <v>1165</v>
      </c>
      <c r="D339" s="2" t="s">
        <v>1183</v>
      </c>
      <c r="E339" s="2" t="s">
        <v>1212</v>
      </c>
      <c r="F339" s="2" t="s">
        <v>1183</v>
      </c>
      <c r="G339" s="4">
        <f t="shared" si="5"/>
        <v>1</v>
      </c>
      <c r="J339" s="2" t="s">
        <v>1323</v>
      </c>
      <c r="L339" s="7">
        <v>48.839516585399998</v>
      </c>
      <c r="M339" s="7">
        <v>2.30110751488</v>
      </c>
      <c r="N339" s="4" t="str">
        <f>VLOOKUP(C339,CHECKS!A:I,9,FALSE)</f>
        <v>#007852</v>
      </c>
      <c r="O339" s="4">
        <f>VLOOKUP(C339,CHECKS!A:I,6,FALSE)</f>
        <v>1.36</v>
      </c>
      <c r="P339" s="4">
        <f>VLOOKUP(C339,CHECKS!A:I,7,FALSE)</f>
        <v>4</v>
      </c>
      <c r="Q339" s="4">
        <f>VLOOKUP(C339,CHECKS!A:I,8,FALSE)</f>
        <v>7</v>
      </c>
      <c r="R339">
        <v>337</v>
      </c>
    </row>
    <row r="340" spans="1:18" x14ac:dyDescent="0.2">
      <c r="A340" s="4">
        <v>3390</v>
      </c>
      <c r="B340" s="2" t="s">
        <v>1007</v>
      </c>
      <c r="C340" s="4" t="s">
        <v>1165</v>
      </c>
      <c r="D340" s="2" t="s">
        <v>1184</v>
      </c>
      <c r="E340" s="2" t="s">
        <v>1213</v>
      </c>
      <c r="F340" s="2" t="s">
        <v>1184</v>
      </c>
      <c r="G340" s="4">
        <f t="shared" si="5"/>
        <v>1</v>
      </c>
      <c r="J340" s="2" t="s">
        <v>1324</v>
      </c>
      <c r="L340" s="7">
        <v>48.837307494599997</v>
      </c>
      <c r="M340" s="7">
        <v>2.2966303432299999</v>
      </c>
      <c r="N340" s="4" t="str">
        <f>VLOOKUP(C340,CHECKS!A:I,9,FALSE)</f>
        <v>#007852</v>
      </c>
      <c r="O340" s="4">
        <f>VLOOKUP(C340,CHECKS!A:I,6,FALSE)</f>
        <v>1.36</v>
      </c>
      <c r="P340" s="4">
        <f>VLOOKUP(C340,CHECKS!A:I,7,FALSE)</f>
        <v>4</v>
      </c>
      <c r="Q340" s="4">
        <f>VLOOKUP(C340,CHECKS!A:I,8,FALSE)</f>
        <v>7</v>
      </c>
      <c r="R340">
        <v>338</v>
      </c>
    </row>
    <row r="341" spans="1:18" x14ac:dyDescent="0.2">
      <c r="A341" s="4">
        <v>3400</v>
      </c>
      <c r="B341" s="2" t="s">
        <v>1008</v>
      </c>
      <c r="C341" s="4" t="s">
        <v>1165</v>
      </c>
      <c r="D341" s="2" t="s">
        <v>1185</v>
      </c>
      <c r="E341" s="2" t="s">
        <v>1214</v>
      </c>
      <c r="F341" s="2" t="s">
        <v>1185</v>
      </c>
      <c r="G341" s="4">
        <f t="shared" si="5"/>
        <v>3</v>
      </c>
      <c r="I341" s="2" t="s">
        <v>2204</v>
      </c>
      <c r="J341" s="2" t="s">
        <v>1325</v>
      </c>
      <c r="L341" s="7">
        <v>48.832449099100003</v>
      </c>
      <c r="M341" s="7">
        <v>2.2880221410999999</v>
      </c>
      <c r="N341" s="4" t="str">
        <f>VLOOKUP(C341,CHECKS!A:I,9,FALSE)</f>
        <v>#007852</v>
      </c>
      <c r="O341" s="4">
        <f>VLOOKUP(C341,CHECKS!A:I,6,FALSE)</f>
        <v>1.36</v>
      </c>
      <c r="P341" s="4">
        <f>VLOOKUP(C341,CHECKS!A:I,7,FALSE)</f>
        <v>4</v>
      </c>
      <c r="Q341" s="4">
        <f>VLOOKUP(C341,CHECKS!A:I,8,FALSE)</f>
        <v>7</v>
      </c>
      <c r="R341">
        <v>339</v>
      </c>
    </row>
    <row r="342" spans="1:18" x14ac:dyDescent="0.2">
      <c r="A342" s="4">
        <v>3410</v>
      </c>
      <c r="B342" s="2" t="s">
        <v>1009</v>
      </c>
      <c r="C342" s="4" t="s">
        <v>1165</v>
      </c>
      <c r="D342" s="2" t="s">
        <v>1186</v>
      </c>
      <c r="E342" s="2" t="s">
        <v>1215</v>
      </c>
      <c r="F342" s="2" t="s">
        <v>1186</v>
      </c>
      <c r="G342" s="4">
        <f t="shared" si="5"/>
        <v>1</v>
      </c>
      <c r="J342" s="2" t="s">
        <v>1326</v>
      </c>
      <c r="L342" s="7">
        <v>48.8270854489</v>
      </c>
      <c r="M342" s="7">
        <v>2.2794116820500001</v>
      </c>
      <c r="N342" s="4" t="str">
        <f>VLOOKUP(C342,CHECKS!A:I,9,FALSE)</f>
        <v>#007852</v>
      </c>
      <c r="O342" s="4">
        <f>VLOOKUP(C342,CHECKS!A:I,6,FALSE)</f>
        <v>1.36</v>
      </c>
      <c r="P342" s="4">
        <f>VLOOKUP(C342,CHECKS!A:I,7,FALSE)</f>
        <v>4</v>
      </c>
      <c r="Q342" s="4">
        <f>VLOOKUP(C342,CHECKS!A:I,8,FALSE)</f>
        <v>7</v>
      </c>
      <c r="R342">
        <v>340</v>
      </c>
    </row>
    <row r="343" spans="1:18" x14ac:dyDescent="0.2">
      <c r="A343" s="4">
        <v>3420</v>
      </c>
      <c r="B343" s="2" t="s">
        <v>1010</v>
      </c>
      <c r="C343" s="4" t="s">
        <v>1165</v>
      </c>
      <c r="D343" s="2" t="s">
        <v>1187</v>
      </c>
      <c r="E343" s="2" t="s">
        <v>1009</v>
      </c>
      <c r="F343" s="2" t="s">
        <v>1187</v>
      </c>
      <c r="G343" s="4">
        <f t="shared" si="5"/>
        <v>1</v>
      </c>
      <c r="J343" s="2" t="s">
        <v>1186</v>
      </c>
      <c r="L343" s="7">
        <v>48.824105030699997</v>
      </c>
      <c r="M343" s="7">
        <v>2.27304152514</v>
      </c>
      <c r="N343" s="4" t="str">
        <f>VLOOKUP(C343,CHECKS!A:I,9,FALSE)</f>
        <v>#007852</v>
      </c>
      <c r="O343" s="4">
        <f>VLOOKUP(C343,CHECKS!A:I,6,FALSE)</f>
        <v>1.36</v>
      </c>
      <c r="P343" s="4">
        <f>VLOOKUP(C343,CHECKS!A:I,7,FALSE)</f>
        <v>4</v>
      </c>
      <c r="Q343" s="4">
        <f>VLOOKUP(C343,CHECKS!A:I,8,FALSE)</f>
        <v>7</v>
      </c>
      <c r="R343">
        <v>341</v>
      </c>
    </row>
    <row r="344" spans="1:18" x14ac:dyDescent="0.2">
      <c r="A344" s="4">
        <v>3430</v>
      </c>
      <c r="B344" s="2" t="s">
        <v>1011</v>
      </c>
      <c r="C344" s="4" t="s">
        <v>1237</v>
      </c>
      <c r="D344" s="2" t="s">
        <v>1216</v>
      </c>
      <c r="E344" s="2" t="s">
        <v>1012</v>
      </c>
      <c r="F344" s="2" t="s">
        <v>1216</v>
      </c>
      <c r="G344" s="4">
        <f t="shared" si="5"/>
        <v>1</v>
      </c>
      <c r="J344" s="2" t="s">
        <v>1217</v>
      </c>
      <c r="L344" s="7">
        <v>48.9458456578</v>
      </c>
      <c r="M344" s="7">
        <v>2.3645417634900001</v>
      </c>
      <c r="N344" s="4" t="str">
        <f>VLOOKUP(C344,CHECKS!A:I,9,FALSE)</f>
        <v>#CF009E</v>
      </c>
      <c r="O344" s="4">
        <f>VLOOKUP(C344,CHECKS!A:I,6,FALSE)</f>
        <v>1.55</v>
      </c>
      <c r="P344" s="4">
        <f>VLOOKUP(C344,CHECKS!A:I,7,FALSE)</f>
        <v>4</v>
      </c>
      <c r="Q344" s="4">
        <f>VLOOKUP(C344,CHECKS!A:I,8,FALSE)</f>
        <v>7</v>
      </c>
      <c r="R344">
        <v>342</v>
      </c>
    </row>
    <row r="345" spans="1:18" x14ac:dyDescent="0.2">
      <c r="A345" s="4">
        <v>3440</v>
      </c>
      <c r="B345" s="2" t="s">
        <v>1012</v>
      </c>
      <c r="C345" s="4" t="s">
        <v>1237</v>
      </c>
      <c r="D345" s="2" t="s">
        <v>1217</v>
      </c>
      <c r="E345" s="2" t="s">
        <v>1238</v>
      </c>
      <c r="F345" s="2" t="s">
        <v>1217</v>
      </c>
      <c r="G345" s="4">
        <f t="shared" si="5"/>
        <v>2</v>
      </c>
      <c r="I345" s="2" t="s">
        <v>1571</v>
      </c>
      <c r="J345" s="2" t="s">
        <v>2211</v>
      </c>
      <c r="L345" s="7">
        <v>48.936526852599997</v>
      </c>
      <c r="M345" s="7">
        <v>2.3593982610299999</v>
      </c>
      <c r="N345" s="4" t="str">
        <f>VLOOKUP(C345,CHECKS!A:I,9,FALSE)</f>
        <v>#CF009E</v>
      </c>
      <c r="O345" s="4">
        <f>VLOOKUP(C345,CHECKS!A:I,6,FALSE)</f>
        <v>1.55</v>
      </c>
      <c r="P345" s="4">
        <f>VLOOKUP(C345,CHECKS!A:I,7,FALSE)</f>
        <v>4</v>
      </c>
      <c r="Q345" s="4">
        <f>VLOOKUP(C345,CHECKS!A:I,8,FALSE)</f>
        <v>7</v>
      </c>
      <c r="R345">
        <v>343</v>
      </c>
    </row>
    <row r="346" spans="1:18" x14ac:dyDescent="0.2">
      <c r="A346" s="4">
        <v>3450</v>
      </c>
      <c r="B346" s="2" t="s">
        <v>1013</v>
      </c>
      <c r="C346" s="4" t="s">
        <v>1237</v>
      </c>
      <c r="D346" s="2" t="s">
        <v>2029</v>
      </c>
      <c r="E346" s="2" t="s">
        <v>1239</v>
      </c>
      <c r="F346" s="2" t="s">
        <v>2029</v>
      </c>
      <c r="G346" s="4">
        <f t="shared" si="5"/>
        <v>2</v>
      </c>
      <c r="I346" s="2" t="s">
        <v>2189</v>
      </c>
      <c r="J346" s="2" t="s">
        <v>1327</v>
      </c>
      <c r="L346" s="7">
        <v>48.929935889699998</v>
      </c>
      <c r="M346" s="7">
        <v>2.3560357941699999</v>
      </c>
      <c r="N346" s="4" t="str">
        <f>VLOOKUP(C346,CHECKS!A:I,9,FALSE)</f>
        <v>#CF009E</v>
      </c>
      <c r="O346" s="4">
        <f>VLOOKUP(C346,CHECKS!A:I,6,FALSE)</f>
        <v>1.55</v>
      </c>
      <c r="P346" s="4">
        <f>VLOOKUP(C346,CHECKS!A:I,7,FALSE)</f>
        <v>4</v>
      </c>
      <c r="Q346" s="4">
        <f>VLOOKUP(C346,CHECKS!A:I,8,FALSE)</f>
        <v>7</v>
      </c>
      <c r="R346">
        <v>344</v>
      </c>
    </row>
    <row r="347" spans="1:18" x14ac:dyDescent="0.2">
      <c r="A347" s="4">
        <v>3460</v>
      </c>
      <c r="B347" s="2" t="s">
        <v>1014</v>
      </c>
      <c r="C347" s="4" t="s">
        <v>1237</v>
      </c>
      <c r="D347" s="2" t="s">
        <v>1218</v>
      </c>
      <c r="E347" s="2" t="s">
        <v>1240</v>
      </c>
      <c r="F347" s="2" t="s">
        <v>1218</v>
      </c>
      <c r="G347" s="4">
        <f t="shared" si="5"/>
        <v>1</v>
      </c>
      <c r="J347" s="2" t="s">
        <v>2217</v>
      </c>
      <c r="L347" s="7">
        <v>48.919573074100001</v>
      </c>
      <c r="M347" s="7">
        <v>2.3433059305100001</v>
      </c>
      <c r="N347" s="4" t="str">
        <f>VLOOKUP(C347,CHECKS!A:I,9,FALSE)</f>
        <v>#CF009E</v>
      </c>
      <c r="O347" s="4">
        <f>VLOOKUP(C347,CHECKS!A:I,6,FALSE)</f>
        <v>1.55</v>
      </c>
      <c r="P347" s="4">
        <f>VLOOKUP(C347,CHECKS!A:I,7,FALSE)</f>
        <v>4</v>
      </c>
      <c r="Q347" s="4">
        <f>VLOOKUP(C347,CHECKS!A:I,8,FALSE)</f>
        <v>7</v>
      </c>
      <c r="R347">
        <v>345</v>
      </c>
    </row>
    <row r="348" spans="1:18" x14ac:dyDescent="0.2">
      <c r="A348" s="4">
        <v>3470</v>
      </c>
      <c r="B348" s="2" t="s">
        <v>1015</v>
      </c>
      <c r="C348" s="4" t="s">
        <v>1237</v>
      </c>
      <c r="D348" s="2" t="s">
        <v>1219</v>
      </c>
      <c r="E348" s="2" t="s">
        <v>1241</v>
      </c>
      <c r="F348" s="2" t="s">
        <v>1219</v>
      </c>
      <c r="G348" s="4">
        <f t="shared" si="5"/>
        <v>1</v>
      </c>
      <c r="J348" s="2" t="s">
        <v>1328</v>
      </c>
      <c r="L348" s="7">
        <v>48.911964897899999</v>
      </c>
      <c r="M348" s="7">
        <v>2.3339248904800001</v>
      </c>
      <c r="N348" s="4" t="str">
        <f>VLOOKUP(C348,CHECKS!A:I,9,FALSE)</f>
        <v>#CF009E</v>
      </c>
      <c r="O348" s="4">
        <f>VLOOKUP(C348,CHECKS!A:I,6,FALSE)</f>
        <v>1.55</v>
      </c>
      <c r="P348" s="4">
        <f>VLOOKUP(C348,CHECKS!A:I,7,FALSE)</f>
        <v>4</v>
      </c>
      <c r="Q348" s="4">
        <f>VLOOKUP(C348,CHECKS!A:I,8,FALSE)</f>
        <v>7</v>
      </c>
      <c r="R348">
        <v>346</v>
      </c>
    </row>
    <row r="349" spans="1:18" x14ac:dyDescent="0.2">
      <c r="A349" s="4">
        <v>3480</v>
      </c>
      <c r="B349" s="2" t="s">
        <v>1016</v>
      </c>
      <c r="C349" s="4" t="s">
        <v>1237</v>
      </c>
      <c r="D349" s="2" t="s">
        <v>1220</v>
      </c>
      <c r="E349" s="2" t="s">
        <v>1242</v>
      </c>
      <c r="F349" s="2" t="s">
        <v>1220</v>
      </c>
      <c r="G349" s="4">
        <f t="shared" si="5"/>
        <v>1</v>
      </c>
      <c r="J349" s="2" t="s">
        <v>1329</v>
      </c>
      <c r="L349" s="7">
        <v>48.906094050199997</v>
      </c>
      <c r="M349" s="7">
        <v>2.3318308379600001</v>
      </c>
      <c r="N349" s="4" t="str">
        <f>VLOOKUP(C349,CHECKS!A:I,9,FALSE)</f>
        <v>#CF009E</v>
      </c>
      <c r="O349" s="4">
        <f>VLOOKUP(C349,CHECKS!A:I,6,FALSE)</f>
        <v>1.55</v>
      </c>
      <c r="P349" s="4">
        <f>VLOOKUP(C349,CHECKS!A:I,7,FALSE)</f>
        <v>4</v>
      </c>
      <c r="Q349" s="4">
        <f>VLOOKUP(C349,CHECKS!A:I,8,FALSE)</f>
        <v>7</v>
      </c>
      <c r="R349">
        <v>347</v>
      </c>
    </row>
    <row r="350" spans="1:18" x14ac:dyDescent="0.2">
      <c r="A350" s="4">
        <v>3490</v>
      </c>
      <c r="B350" s="2" t="s">
        <v>1017</v>
      </c>
      <c r="C350" s="4" t="s">
        <v>1237</v>
      </c>
      <c r="D350" s="2" t="s">
        <v>1221</v>
      </c>
      <c r="E350" s="2" t="s">
        <v>1243</v>
      </c>
      <c r="F350" s="2" t="s">
        <v>1221</v>
      </c>
      <c r="G350" s="4">
        <f t="shared" si="5"/>
        <v>2</v>
      </c>
      <c r="I350" s="2" t="s">
        <v>1819</v>
      </c>
      <c r="J350" s="2" t="s">
        <v>1330</v>
      </c>
      <c r="L350" s="7">
        <v>48.897374795499999</v>
      </c>
      <c r="M350" s="7">
        <v>2.3289428127799998</v>
      </c>
      <c r="N350" s="4" t="str">
        <f>VLOOKUP(C350,CHECKS!A:I,9,FALSE)</f>
        <v>#CF009E</v>
      </c>
      <c r="O350" s="4">
        <f>VLOOKUP(C350,CHECKS!A:I,6,FALSE)</f>
        <v>1.55</v>
      </c>
      <c r="P350" s="4">
        <f>VLOOKUP(C350,CHECKS!A:I,7,FALSE)</f>
        <v>4</v>
      </c>
      <c r="Q350" s="4">
        <f>VLOOKUP(C350,CHECKS!A:I,8,FALSE)</f>
        <v>7</v>
      </c>
      <c r="R350">
        <v>348</v>
      </c>
    </row>
    <row r="351" spans="1:18" x14ac:dyDescent="0.2">
      <c r="A351" s="4">
        <v>3500</v>
      </c>
      <c r="B351" s="2" t="s">
        <v>1018</v>
      </c>
      <c r="C351" s="4" t="s">
        <v>1237</v>
      </c>
      <c r="D351" s="2" t="s">
        <v>1222</v>
      </c>
      <c r="E351" s="2" t="s">
        <v>1244</v>
      </c>
      <c r="F351" s="2" t="s">
        <v>1222</v>
      </c>
      <c r="G351" s="4">
        <f t="shared" si="5"/>
        <v>1</v>
      </c>
      <c r="J351" s="2" t="s">
        <v>1331</v>
      </c>
      <c r="L351" s="7">
        <v>48.892828853399998</v>
      </c>
      <c r="M351" s="7">
        <v>2.3274284585</v>
      </c>
      <c r="N351" s="4" t="str">
        <f>VLOOKUP(C351,CHECKS!A:I,9,FALSE)</f>
        <v>#CF009E</v>
      </c>
      <c r="O351" s="4">
        <f>VLOOKUP(C351,CHECKS!A:I,6,FALSE)</f>
        <v>1.55</v>
      </c>
      <c r="P351" s="4">
        <f>VLOOKUP(C351,CHECKS!A:I,7,FALSE)</f>
        <v>4</v>
      </c>
      <c r="Q351" s="4">
        <f>VLOOKUP(C351,CHECKS!A:I,8,FALSE)</f>
        <v>7</v>
      </c>
      <c r="R351">
        <v>349</v>
      </c>
    </row>
    <row r="352" spans="1:18" x14ac:dyDescent="0.2">
      <c r="A352" s="4">
        <v>3510</v>
      </c>
      <c r="B352" s="2" t="s">
        <v>1361</v>
      </c>
      <c r="C352" s="4" t="s">
        <v>1237</v>
      </c>
      <c r="D352" s="2" t="s">
        <v>1359</v>
      </c>
      <c r="E352" s="2" t="s">
        <v>1362</v>
      </c>
      <c r="F352" s="2" t="s">
        <v>1359</v>
      </c>
      <c r="G352" s="4">
        <f t="shared" si="5"/>
        <v>2</v>
      </c>
      <c r="I352" s="2" t="s">
        <v>1558</v>
      </c>
      <c r="J352" s="2" t="s">
        <v>1360</v>
      </c>
      <c r="L352" s="7">
        <v>48.9231037797</v>
      </c>
      <c r="M352" s="7">
        <v>2.2862795775300002</v>
      </c>
      <c r="N352" s="4" t="str">
        <f>VLOOKUP(C352,CHECKS!A:I,9,FALSE)</f>
        <v>#CF009E</v>
      </c>
      <c r="O352" s="4">
        <f>VLOOKUP(C352,CHECKS!A:I,6,FALSE)</f>
        <v>1.55</v>
      </c>
      <c r="P352" s="4">
        <f>VLOOKUP(C352,CHECKS!A:I,7,FALSE)</f>
        <v>4</v>
      </c>
      <c r="Q352" s="4">
        <f>VLOOKUP(C352,CHECKS!A:I,8,FALSE)</f>
        <v>7</v>
      </c>
      <c r="R352">
        <v>350</v>
      </c>
    </row>
    <row r="353" spans="1:18" x14ac:dyDescent="0.2">
      <c r="A353" s="4">
        <v>3520</v>
      </c>
      <c r="B353" s="2" t="s">
        <v>1362</v>
      </c>
      <c r="C353" s="4" t="s">
        <v>1237</v>
      </c>
      <c r="D353" s="2" t="s">
        <v>1360</v>
      </c>
      <c r="E353" s="2" t="s">
        <v>1363</v>
      </c>
      <c r="F353" s="2" t="s">
        <v>1360</v>
      </c>
      <c r="G353" s="4">
        <f t="shared" si="5"/>
        <v>1</v>
      </c>
      <c r="J353" s="2" t="s">
        <v>1365</v>
      </c>
      <c r="L353" s="7">
        <v>48.930757003300002</v>
      </c>
      <c r="M353" s="7">
        <v>2.2841744482799999</v>
      </c>
      <c r="N353" s="4" t="str">
        <f>VLOOKUP(C353,CHECKS!A:I,9,FALSE)</f>
        <v>#CF009E</v>
      </c>
      <c r="O353" s="4">
        <f>VLOOKUP(C353,CHECKS!A:I,6,FALSE)</f>
        <v>1.55</v>
      </c>
      <c r="P353" s="4">
        <f>VLOOKUP(C353,CHECKS!A:I,7,FALSE)</f>
        <v>4</v>
      </c>
      <c r="Q353" s="4">
        <f>VLOOKUP(C353,CHECKS!A:I,8,FALSE)</f>
        <v>7</v>
      </c>
      <c r="R353">
        <v>351</v>
      </c>
    </row>
    <row r="354" spans="1:18" x14ac:dyDescent="0.2">
      <c r="A354" s="4">
        <v>3530</v>
      </c>
      <c r="B354" s="2" t="s">
        <v>1019</v>
      </c>
      <c r="C354" s="4" t="s">
        <v>1237</v>
      </c>
      <c r="D354" s="2" t="s">
        <v>1358</v>
      </c>
      <c r="E354" s="2" t="s">
        <v>1364</v>
      </c>
      <c r="F354" s="2" t="s">
        <v>1358</v>
      </c>
      <c r="G354" s="4">
        <f t="shared" si="5"/>
        <v>1</v>
      </c>
      <c r="J354" s="2" t="s">
        <v>1366</v>
      </c>
      <c r="L354" s="7">
        <v>48.916382309900001</v>
      </c>
      <c r="M354" s="7">
        <v>2.2946851116999998</v>
      </c>
      <c r="N354" s="4" t="str">
        <f>VLOOKUP(C354,CHECKS!A:I,9,FALSE)</f>
        <v>#CF009E</v>
      </c>
      <c r="O354" s="4">
        <f>VLOOKUP(C354,CHECKS!A:I,6,FALSE)</f>
        <v>1.55</v>
      </c>
      <c r="P354" s="4">
        <f>VLOOKUP(C354,CHECKS!A:I,7,FALSE)</f>
        <v>4</v>
      </c>
      <c r="Q354" s="4">
        <f>VLOOKUP(C354,CHECKS!A:I,8,FALSE)</f>
        <v>7</v>
      </c>
      <c r="R354">
        <v>352</v>
      </c>
    </row>
    <row r="355" spans="1:18" x14ac:dyDescent="0.2">
      <c r="A355" s="4">
        <v>3540</v>
      </c>
      <c r="B355" s="2" t="s">
        <v>1020</v>
      </c>
      <c r="C355" s="4" t="s">
        <v>1237</v>
      </c>
      <c r="D355" s="2" t="s">
        <v>1223</v>
      </c>
      <c r="E355" s="2" t="s">
        <v>1245</v>
      </c>
      <c r="F355" s="2" t="s">
        <v>1223</v>
      </c>
      <c r="G355" s="4">
        <f t="shared" si="5"/>
        <v>1</v>
      </c>
      <c r="J355" s="2" t="s">
        <v>1367</v>
      </c>
      <c r="L355" s="7">
        <v>48.903330094600001</v>
      </c>
      <c r="M355" s="7">
        <v>2.3059241498700001</v>
      </c>
      <c r="N355" s="4" t="str">
        <f>VLOOKUP(C355,CHECKS!A:I,9,FALSE)</f>
        <v>#CF009E</v>
      </c>
      <c r="O355" s="4">
        <f>VLOOKUP(C355,CHECKS!A:I,6,FALSE)</f>
        <v>1.55</v>
      </c>
      <c r="P355" s="4">
        <f>VLOOKUP(C355,CHECKS!A:I,7,FALSE)</f>
        <v>4</v>
      </c>
      <c r="Q355" s="4">
        <f>VLOOKUP(C355,CHECKS!A:I,8,FALSE)</f>
        <v>7</v>
      </c>
      <c r="R355">
        <v>353</v>
      </c>
    </row>
    <row r="356" spans="1:18" x14ac:dyDescent="0.2">
      <c r="A356" s="4">
        <v>3550</v>
      </c>
      <c r="B356" s="2" t="s">
        <v>1021</v>
      </c>
      <c r="C356" s="4" t="s">
        <v>1237</v>
      </c>
      <c r="D356" s="2" t="s">
        <v>1224</v>
      </c>
      <c r="E356" s="2" t="s">
        <v>1246</v>
      </c>
      <c r="F356" s="2" t="s">
        <v>1224</v>
      </c>
      <c r="G356" s="4">
        <f t="shared" si="5"/>
        <v>2</v>
      </c>
      <c r="I356" s="2" t="s">
        <v>1825</v>
      </c>
      <c r="J356" s="2" t="s">
        <v>1332</v>
      </c>
      <c r="L356" s="7">
        <v>48.894252262199998</v>
      </c>
      <c r="M356" s="7">
        <v>2.31377215877</v>
      </c>
      <c r="N356" s="4" t="str">
        <f>VLOOKUP(C356,CHECKS!A:I,9,FALSE)</f>
        <v>#CF009E</v>
      </c>
      <c r="O356" s="4">
        <f>VLOOKUP(C356,CHECKS!A:I,6,FALSE)</f>
        <v>1.55</v>
      </c>
      <c r="P356" s="4">
        <f>VLOOKUP(C356,CHECKS!A:I,7,FALSE)</f>
        <v>4</v>
      </c>
      <c r="Q356" s="4">
        <f>VLOOKUP(C356,CHECKS!A:I,8,FALSE)</f>
        <v>7</v>
      </c>
      <c r="R356">
        <v>354</v>
      </c>
    </row>
    <row r="357" spans="1:18" x14ac:dyDescent="0.2">
      <c r="A357" s="4">
        <v>3560</v>
      </c>
      <c r="B357" s="2" t="s">
        <v>1022</v>
      </c>
      <c r="C357" s="4" t="s">
        <v>1237</v>
      </c>
      <c r="D357" s="2" t="s">
        <v>1225</v>
      </c>
      <c r="E357" s="2" t="s">
        <v>1247</v>
      </c>
      <c r="F357" s="2" t="s">
        <v>1225</v>
      </c>
      <c r="G357" s="4">
        <f t="shared" si="5"/>
        <v>1</v>
      </c>
      <c r="J357" s="2" t="s">
        <v>1333</v>
      </c>
      <c r="L357" s="7">
        <v>48.890587186600001</v>
      </c>
      <c r="M357" s="7">
        <v>2.3201747557900001</v>
      </c>
      <c r="N357" s="4" t="str">
        <f>VLOOKUP(C357,CHECKS!A:I,9,FALSE)</f>
        <v>#CF009E</v>
      </c>
      <c r="O357" s="4">
        <f>VLOOKUP(C357,CHECKS!A:I,6,FALSE)</f>
        <v>1.55</v>
      </c>
      <c r="P357" s="4">
        <f>VLOOKUP(C357,CHECKS!A:I,7,FALSE)</f>
        <v>4</v>
      </c>
      <c r="Q357" s="4">
        <f>VLOOKUP(C357,CHECKS!A:I,8,FALSE)</f>
        <v>7</v>
      </c>
      <c r="R357">
        <v>355</v>
      </c>
    </row>
    <row r="358" spans="1:18" x14ac:dyDescent="0.2">
      <c r="A358" s="4">
        <v>3570</v>
      </c>
      <c r="B358" s="2" t="s">
        <v>1023</v>
      </c>
      <c r="C358" s="4" t="s">
        <v>1237</v>
      </c>
      <c r="D358" s="2" t="s">
        <v>1226</v>
      </c>
      <c r="E358" s="2" t="s">
        <v>1248</v>
      </c>
      <c r="F358" s="2" t="s">
        <v>1226</v>
      </c>
      <c r="G358" s="4">
        <f t="shared" si="5"/>
        <v>1</v>
      </c>
      <c r="J358" s="2" t="s">
        <v>1334</v>
      </c>
      <c r="L358" s="7">
        <v>48.887183946900002</v>
      </c>
      <c r="M358" s="7">
        <v>2.3257796748100001</v>
      </c>
      <c r="N358" s="4" t="str">
        <f>VLOOKUP(C358,CHECKS!A:I,9,FALSE)</f>
        <v>#CF009E</v>
      </c>
      <c r="O358" s="4">
        <f>VLOOKUP(C358,CHECKS!A:I,6,FALSE)</f>
        <v>1.55</v>
      </c>
      <c r="P358" s="4">
        <f>VLOOKUP(C358,CHECKS!A:I,7,FALSE)</f>
        <v>4</v>
      </c>
      <c r="Q358" s="4">
        <f>VLOOKUP(C358,CHECKS!A:I,8,FALSE)</f>
        <v>7</v>
      </c>
      <c r="R358">
        <v>356</v>
      </c>
    </row>
    <row r="359" spans="1:18" x14ac:dyDescent="0.2">
      <c r="A359" s="4">
        <v>3580</v>
      </c>
      <c r="B359" s="2" t="s">
        <v>1024</v>
      </c>
      <c r="C359" s="4" t="s">
        <v>1237</v>
      </c>
      <c r="D359" s="2" t="s">
        <v>115</v>
      </c>
      <c r="E359" s="2" t="s">
        <v>1249</v>
      </c>
      <c r="F359" s="2" t="s">
        <v>115</v>
      </c>
      <c r="G359" s="4">
        <f t="shared" si="5"/>
        <v>2</v>
      </c>
      <c r="H359" s="2" t="s">
        <v>139</v>
      </c>
      <c r="J359" s="2" t="s">
        <v>1335</v>
      </c>
      <c r="K359" s="2" t="s">
        <v>115</v>
      </c>
      <c r="L359" s="7">
        <v>48.883804527999999</v>
      </c>
      <c r="M359" s="7">
        <v>2.3272434119500001</v>
      </c>
      <c r="N359" s="4" t="str">
        <f>VLOOKUP(C359,CHECKS!A:I,9,FALSE)</f>
        <v>#CF009E</v>
      </c>
      <c r="O359" s="4">
        <f>VLOOKUP(C359,CHECKS!A:I,6,FALSE)</f>
        <v>1.55</v>
      </c>
      <c r="P359" s="4">
        <f>VLOOKUP(C359,CHECKS!A:I,7,FALSE)</f>
        <v>4</v>
      </c>
      <c r="Q359" s="4">
        <f>VLOOKUP(C359,CHECKS!A:I,8,FALSE)</f>
        <v>7</v>
      </c>
      <c r="R359">
        <v>357</v>
      </c>
    </row>
    <row r="360" spans="1:18" x14ac:dyDescent="0.2">
      <c r="A360" s="4">
        <v>3590</v>
      </c>
      <c r="B360" s="2" t="s">
        <v>1025</v>
      </c>
      <c r="C360" s="4" t="s">
        <v>1237</v>
      </c>
      <c r="D360" s="2" t="s">
        <v>1227</v>
      </c>
      <c r="E360" s="2" t="s">
        <v>1250</v>
      </c>
      <c r="F360" s="2" t="s">
        <v>1227</v>
      </c>
      <c r="G360" s="4">
        <f t="shared" si="5"/>
        <v>1</v>
      </c>
      <c r="J360" s="2" t="s">
        <v>1336</v>
      </c>
      <c r="L360" s="7">
        <v>48.8796347607</v>
      </c>
      <c r="M360" s="7">
        <v>2.3270222008900001</v>
      </c>
      <c r="N360" s="4" t="str">
        <f>VLOOKUP(C360,CHECKS!A:I,9,FALSE)</f>
        <v>#CF009E</v>
      </c>
      <c r="O360" s="4">
        <f>VLOOKUP(C360,CHECKS!A:I,6,FALSE)</f>
        <v>1.55</v>
      </c>
      <c r="P360" s="4">
        <f>VLOOKUP(C360,CHECKS!A:I,7,FALSE)</f>
        <v>4</v>
      </c>
      <c r="Q360" s="4">
        <f>VLOOKUP(C360,CHECKS!A:I,8,FALSE)</f>
        <v>7</v>
      </c>
      <c r="R360">
        <v>358</v>
      </c>
    </row>
    <row r="361" spans="1:18" x14ac:dyDescent="0.2">
      <c r="A361" s="4">
        <v>3600</v>
      </c>
      <c r="B361" s="2" t="s">
        <v>1026</v>
      </c>
      <c r="C361" s="4" t="s">
        <v>1237</v>
      </c>
      <c r="D361" s="2" t="s">
        <v>235</v>
      </c>
      <c r="E361" s="2" t="s">
        <v>1251</v>
      </c>
      <c r="F361" s="2" t="s">
        <v>235</v>
      </c>
      <c r="G361" s="4">
        <f t="shared" si="5"/>
        <v>4</v>
      </c>
      <c r="H361" s="2" t="s">
        <v>1427</v>
      </c>
      <c r="J361" s="2" t="s">
        <v>1337</v>
      </c>
      <c r="K361" s="2" t="s">
        <v>1441</v>
      </c>
      <c r="L361" s="7">
        <v>48.875354957699997</v>
      </c>
      <c r="M361" s="7">
        <v>2.3248182850600001</v>
      </c>
      <c r="N361" s="4" t="str">
        <f>VLOOKUP(C361,CHECKS!A:I,9,FALSE)</f>
        <v>#CF009E</v>
      </c>
      <c r="O361" s="4">
        <f>VLOOKUP(C361,CHECKS!A:I,6,FALSE)</f>
        <v>1.55</v>
      </c>
      <c r="P361" s="4">
        <f>VLOOKUP(C361,CHECKS!A:I,7,FALSE)</f>
        <v>4</v>
      </c>
      <c r="Q361" s="4">
        <f>VLOOKUP(C361,CHECKS!A:I,8,FALSE)</f>
        <v>7</v>
      </c>
      <c r="R361">
        <v>359</v>
      </c>
    </row>
    <row r="362" spans="1:18" x14ac:dyDescent="0.2">
      <c r="A362" s="4">
        <v>3610</v>
      </c>
      <c r="B362" s="2" t="s">
        <v>1027</v>
      </c>
      <c r="C362" s="4" t="s">
        <v>1237</v>
      </c>
      <c r="D362" s="2" t="s">
        <v>910</v>
      </c>
      <c r="E362" s="2" t="s">
        <v>1252</v>
      </c>
      <c r="F362" s="2" t="s">
        <v>910</v>
      </c>
      <c r="G362" s="4">
        <f t="shared" si="5"/>
        <v>2</v>
      </c>
      <c r="H362" s="2" t="s">
        <v>738</v>
      </c>
      <c r="J362" s="2" t="s">
        <v>1338</v>
      </c>
      <c r="K362" s="2" t="s">
        <v>910</v>
      </c>
      <c r="L362" s="7">
        <v>48.873769988699998</v>
      </c>
      <c r="M362" s="7">
        <v>2.3144560361900002</v>
      </c>
      <c r="N362" s="4" t="str">
        <f>VLOOKUP(C362,CHECKS!A:I,9,FALSE)</f>
        <v>#CF009E</v>
      </c>
      <c r="O362" s="4">
        <f>VLOOKUP(C362,CHECKS!A:I,6,FALSE)</f>
        <v>1.55</v>
      </c>
      <c r="P362" s="4">
        <f>VLOOKUP(C362,CHECKS!A:I,7,FALSE)</f>
        <v>4</v>
      </c>
      <c r="Q362" s="4">
        <f>VLOOKUP(C362,CHECKS!A:I,8,FALSE)</f>
        <v>7</v>
      </c>
      <c r="R362">
        <v>360</v>
      </c>
    </row>
    <row r="363" spans="1:18" x14ac:dyDescent="0.2">
      <c r="A363" s="4">
        <v>3620</v>
      </c>
      <c r="B363" s="2" t="s">
        <v>1028</v>
      </c>
      <c r="C363" s="4" t="s">
        <v>1237</v>
      </c>
      <c r="D363" s="2" t="s">
        <v>95</v>
      </c>
      <c r="E363" s="2" t="s">
        <v>1253</v>
      </c>
      <c r="F363" s="2" t="s">
        <v>95</v>
      </c>
      <c r="G363" s="4">
        <f t="shared" si="5"/>
        <v>2</v>
      </c>
      <c r="H363" s="2" t="s">
        <v>39</v>
      </c>
      <c r="J363" s="2" t="s">
        <v>1339</v>
      </c>
      <c r="K363" s="2" t="s">
        <v>95</v>
      </c>
      <c r="L363" s="7">
        <v>48.867602145200003</v>
      </c>
      <c r="M363" s="7">
        <v>2.3138941291199999</v>
      </c>
      <c r="N363" s="4" t="str">
        <f>VLOOKUP(C363,CHECKS!A:I,9,FALSE)</f>
        <v>#CF009E</v>
      </c>
      <c r="O363" s="4">
        <f>VLOOKUP(C363,CHECKS!A:I,6,FALSE)</f>
        <v>1.55</v>
      </c>
      <c r="P363" s="4">
        <f>VLOOKUP(C363,CHECKS!A:I,7,FALSE)</f>
        <v>4</v>
      </c>
      <c r="Q363" s="4">
        <f>VLOOKUP(C363,CHECKS!A:I,8,FALSE)</f>
        <v>7</v>
      </c>
      <c r="R363">
        <v>361</v>
      </c>
    </row>
    <row r="364" spans="1:18" x14ac:dyDescent="0.2">
      <c r="A364" s="4">
        <v>3630</v>
      </c>
      <c r="B364" s="2" t="s">
        <v>1029</v>
      </c>
      <c r="C364" s="4" t="s">
        <v>1237</v>
      </c>
      <c r="D364" s="2" t="s">
        <v>797</v>
      </c>
      <c r="E364" s="2" t="s">
        <v>1254</v>
      </c>
      <c r="F364" s="2" t="s">
        <v>797</v>
      </c>
      <c r="G364" s="4">
        <f t="shared" si="5"/>
        <v>2</v>
      </c>
      <c r="H364" s="2" t="s">
        <v>692</v>
      </c>
      <c r="J364" s="2" t="s">
        <v>1340</v>
      </c>
      <c r="K364" s="2" t="s">
        <v>797</v>
      </c>
      <c r="L364" s="7">
        <v>48.862364704100003</v>
      </c>
      <c r="M364" s="7">
        <v>2.3139095777900001</v>
      </c>
      <c r="N364" s="4" t="str">
        <f>VLOOKUP(C364,CHECKS!A:I,9,FALSE)</f>
        <v>#CF009E</v>
      </c>
      <c r="O364" s="4">
        <f>VLOOKUP(C364,CHECKS!A:I,6,FALSE)</f>
        <v>1.55</v>
      </c>
      <c r="P364" s="4">
        <f>VLOOKUP(C364,CHECKS!A:I,7,FALSE)</f>
        <v>4</v>
      </c>
      <c r="Q364" s="4">
        <f>VLOOKUP(C364,CHECKS!A:I,8,FALSE)</f>
        <v>7</v>
      </c>
      <c r="R364">
        <v>362</v>
      </c>
    </row>
    <row r="365" spans="1:18" x14ac:dyDescent="0.2">
      <c r="A365" s="4">
        <v>3640</v>
      </c>
      <c r="B365" s="2" t="s">
        <v>1030</v>
      </c>
      <c r="C365" s="4" t="s">
        <v>1237</v>
      </c>
      <c r="D365" s="2" t="s">
        <v>1228</v>
      </c>
      <c r="E365" s="2" t="s">
        <v>1255</v>
      </c>
      <c r="F365" s="2" t="s">
        <v>1228</v>
      </c>
      <c r="G365" s="4">
        <f t="shared" si="5"/>
        <v>1</v>
      </c>
      <c r="J365" s="2" t="s">
        <v>1341</v>
      </c>
      <c r="L365" s="7">
        <v>48.856871379200001</v>
      </c>
      <c r="M365" s="7">
        <v>2.3150566373200001</v>
      </c>
      <c r="N365" s="4" t="str">
        <f>VLOOKUP(C365,CHECKS!A:I,9,FALSE)</f>
        <v>#CF009E</v>
      </c>
      <c r="O365" s="4">
        <f>VLOOKUP(C365,CHECKS!A:I,6,FALSE)</f>
        <v>1.55</v>
      </c>
      <c r="P365" s="4">
        <f>VLOOKUP(C365,CHECKS!A:I,7,FALSE)</f>
        <v>4</v>
      </c>
      <c r="Q365" s="4">
        <f>VLOOKUP(C365,CHECKS!A:I,8,FALSE)</f>
        <v>7</v>
      </c>
      <c r="R365">
        <v>363</v>
      </c>
    </row>
    <row r="366" spans="1:18" x14ac:dyDescent="0.2">
      <c r="A366" s="4">
        <v>3650</v>
      </c>
      <c r="B366" s="2" t="s">
        <v>1031</v>
      </c>
      <c r="C366" s="4" t="s">
        <v>1237</v>
      </c>
      <c r="D366" s="2" t="s">
        <v>1229</v>
      </c>
      <c r="E366" s="2" t="s">
        <v>1256</v>
      </c>
      <c r="F366" s="2" t="s">
        <v>1229</v>
      </c>
      <c r="G366" s="4">
        <f t="shared" si="5"/>
        <v>1</v>
      </c>
      <c r="J366" s="2" t="s">
        <v>1342</v>
      </c>
      <c r="L366" s="7">
        <v>48.851441705600003</v>
      </c>
      <c r="M366" s="7">
        <v>2.3144081215000001</v>
      </c>
      <c r="N366" s="4" t="str">
        <f>VLOOKUP(C366,CHECKS!A:I,9,FALSE)</f>
        <v>#CF009E</v>
      </c>
      <c r="O366" s="4">
        <f>VLOOKUP(C366,CHECKS!A:I,6,FALSE)</f>
        <v>1.55</v>
      </c>
      <c r="P366" s="4">
        <f>VLOOKUP(C366,CHECKS!A:I,7,FALSE)</f>
        <v>4</v>
      </c>
      <c r="Q366" s="4">
        <f>VLOOKUP(C366,CHECKS!A:I,8,FALSE)</f>
        <v>7</v>
      </c>
      <c r="R366">
        <v>364</v>
      </c>
    </row>
    <row r="367" spans="1:18" x14ac:dyDescent="0.2">
      <c r="A367" s="4">
        <v>3660</v>
      </c>
      <c r="B367" s="2" t="s">
        <v>1032</v>
      </c>
      <c r="C367" s="4" t="s">
        <v>1237</v>
      </c>
      <c r="D367" s="2" t="s">
        <v>1061</v>
      </c>
      <c r="E367" s="2" t="s">
        <v>1257</v>
      </c>
      <c r="F367" s="2" t="s">
        <v>1061</v>
      </c>
      <c r="G367" s="4">
        <f t="shared" si="5"/>
        <v>2</v>
      </c>
      <c r="H367" s="2" t="s">
        <v>959</v>
      </c>
      <c r="J367" s="2" t="s">
        <v>1343</v>
      </c>
      <c r="K367" s="2" t="s">
        <v>1061</v>
      </c>
      <c r="L367" s="7">
        <v>48.847052554500003</v>
      </c>
      <c r="M367" s="7">
        <v>2.3164243520599999</v>
      </c>
      <c r="N367" s="4" t="str">
        <f>VLOOKUP(C367,CHECKS!A:I,9,FALSE)</f>
        <v>#CF009E</v>
      </c>
      <c r="O367" s="4">
        <f>VLOOKUP(C367,CHECKS!A:I,6,FALSE)</f>
        <v>1.55</v>
      </c>
      <c r="P367" s="4">
        <f>VLOOKUP(C367,CHECKS!A:I,7,FALSE)</f>
        <v>4</v>
      </c>
      <c r="Q367" s="4">
        <f>VLOOKUP(C367,CHECKS!A:I,8,FALSE)</f>
        <v>7</v>
      </c>
      <c r="R367">
        <v>365</v>
      </c>
    </row>
    <row r="368" spans="1:18" x14ac:dyDescent="0.2">
      <c r="A368" s="4">
        <v>3670</v>
      </c>
      <c r="B368" s="2" t="s">
        <v>1033</v>
      </c>
      <c r="C368" s="4" t="s">
        <v>1237</v>
      </c>
      <c r="D368" s="2" t="s">
        <v>322</v>
      </c>
      <c r="E368" s="2" t="s">
        <v>1258</v>
      </c>
      <c r="F368" s="2" t="s">
        <v>322</v>
      </c>
      <c r="G368" s="4">
        <f t="shared" si="5"/>
        <v>4</v>
      </c>
      <c r="H368" s="2" t="s">
        <v>1409</v>
      </c>
      <c r="J368" s="2" t="s">
        <v>1344</v>
      </c>
      <c r="K368" s="2" t="s">
        <v>1446</v>
      </c>
      <c r="L368" s="7">
        <v>48.8423274377</v>
      </c>
      <c r="M368" s="7">
        <v>2.32098483563</v>
      </c>
      <c r="N368" s="4" t="str">
        <f>VLOOKUP(C368,CHECKS!A:I,9,FALSE)</f>
        <v>#CF009E</v>
      </c>
      <c r="O368" s="4">
        <f>VLOOKUP(C368,CHECKS!A:I,6,FALSE)</f>
        <v>1.55</v>
      </c>
      <c r="P368" s="4">
        <f>VLOOKUP(C368,CHECKS!A:I,7,FALSE)</f>
        <v>4</v>
      </c>
      <c r="Q368" s="4">
        <f>VLOOKUP(C368,CHECKS!A:I,8,FALSE)</f>
        <v>7</v>
      </c>
      <c r="R368">
        <v>366</v>
      </c>
    </row>
    <row r="369" spans="1:18" x14ac:dyDescent="0.2">
      <c r="A369" s="4">
        <v>3680</v>
      </c>
      <c r="B369" s="2" t="s">
        <v>1034</v>
      </c>
      <c r="C369" s="4" t="s">
        <v>1237</v>
      </c>
      <c r="D369" s="2" t="s">
        <v>1230</v>
      </c>
      <c r="E369" s="2" t="s">
        <v>1259</v>
      </c>
      <c r="F369" s="2" t="s">
        <v>1230</v>
      </c>
      <c r="G369" s="4">
        <f t="shared" si="5"/>
        <v>1</v>
      </c>
      <c r="J369" s="2" t="s">
        <v>1345</v>
      </c>
      <c r="L369" s="7">
        <v>48.8386316462</v>
      </c>
      <c r="M369" s="7">
        <v>2.3224917498200002</v>
      </c>
      <c r="N369" s="4" t="str">
        <f>VLOOKUP(C369,CHECKS!A:I,9,FALSE)</f>
        <v>#CF009E</v>
      </c>
      <c r="O369" s="4">
        <f>VLOOKUP(C369,CHECKS!A:I,6,FALSE)</f>
        <v>1.55</v>
      </c>
      <c r="P369" s="4">
        <f>VLOOKUP(C369,CHECKS!A:I,7,FALSE)</f>
        <v>4</v>
      </c>
      <c r="Q369" s="4">
        <f>VLOOKUP(C369,CHECKS!A:I,8,FALSE)</f>
        <v>7</v>
      </c>
      <c r="R369">
        <v>367</v>
      </c>
    </row>
    <row r="370" spans="1:18" x14ac:dyDescent="0.2">
      <c r="A370" s="4">
        <v>3690</v>
      </c>
      <c r="B370" s="2" t="s">
        <v>1035</v>
      </c>
      <c r="C370" s="4" t="s">
        <v>1237</v>
      </c>
      <c r="D370" s="2" t="s">
        <v>1231</v>
      </c>
      <c r="E370" s="2" t="s">
        <v>1260</v>
      </c>
      <c r="F370" s="2" t="s">
        <v>1231</v>
      </c>
      <c r="G370" s="4">
        <f t="shared" si="5"/>
        <v>1</v>
      </c>
      <c r="J370" s="2" t="s">
        <v>1346</v>
      </c>
      <c r="L370" s="7">
        <v>48.833936392699997</v>
      </c>
      <c r="M370" s="7">
        <v>2.3180782854899999</v>
      </c>
      <c r="N370" s="4" t="str">
        <f>VLOOKUP(C370,CHECKS!A:I,9,FALSE)</f>
        <v>#CF009E</v>
      </c>
      <c r="O370" s="4">
        <f>VLOOKUP(C370,CHECKS!A:I,6,FALSE)</f>
        <v>1.55</v>
      </c>
      <c r="P370" s="4">
        <f>VLOOKUP(C370,CHECKS!A:I,7,FALSE)</f>
        <v>4</v>
      </c>
      <c r="Q370" s="4">
        <f>VLOOKUP(C370,CHECKS!A:I,8,FALSE)</f>
        <v>7</v>
      </c>
      <c r="R370">
        <v>368</v>
      </c>
    </row>
    <row r="371" spans="1:18" x14ac:dyDescent="0.2">
      <c r="A371" s="4">
        <v>3700</v>
      </c>
      <c r="B371" s="2" t="s">
        <v>1036</v>
      </c>
      <c r="C371" s="4" t="s">
        <v>1237</v>
      </c>
      <c r="D371" s="2" t="s">
        <v>1232</v>
      </c>
      <c r="E371" s="2" t="s">
        <v>1261</v>
      </c>
      <c r="F371" s="2" t="s">
        <v>1232</v>
      </c>
      <c r="G371" s="4">
        <f t="shared" si="5"/>
        <v>1</v>
      </c>
      <c r="J371" s="2" t="s">
        <v>1347</v>
      </c>
      <c r="L371" s="7">
        <v>48.831825649599999</v>
      </c>
      <c r="M371" s="7">
        <v>2.3141223234699999</v>
      </c>
      <c r="N371" s="4" t="str">
        <f>VLOOKUP(C371,CHECKS!A:I,9,FALSE)</f>
        <v>#CF009E</v>
      </c>
      <c r="O371" s="4">
        <f>VLOOKUP(C371,CHECKS!A:I,6,FALSE)</f>
        <v>1.55</v>
      </c>
      <c r="P371" s="4">
        <f>VLOOKUP(C371,CHECKS!A:I,7,FALSE)</f>
        <v>4</v>
      </c>
      <c r="Q371" s="4">
        <f>VLOOKUP(C371,CHECKS!A:I,8,FALSE)</f>
        <v>7</v>
      </c>
      <c r="R371">
        <v>369</v>
      </c>
    </row>
    <row r="372" spans="1:18" x14ac:dyDescent="0.2">
      <c r="A372" s="4">
        <v>3710</v>
      </c>
      <c r="B372" s="2" t="s">
        <v>1037</v>
      </c>
      <c r="C372" s="4" t="s">
        <v>1237</v>
      </c>
      <c r="D372" s="2" t="s">
        <v>1233</v>
      </c>
      <c r="E372" s="2" t="s">
        <v>1262</v>
      </c>
      <c r="F372" s="2" t="s">
        <v>1233</v>
      </c>
      <c r="G372" s="4">
        <f t="shared" si="5"/>
        <v>2</v>
      </c>
      <c r="I372" s="2" t="s">
        <v>1724</v>
      </c>
      <c r="J372" s="2" t="s">
        <v>1348</v>
      </c>
      <c r="L372" s="7">
        <v>48.827795543500002</v>
      </c>
      <c r="M372" s="7">
        <v>2.3055346696500001</v>
      </c>
      <c r="N372" s="4" t="str">
        <f>VLOOKUP(C372,CHECKS!A:I,9,FALSE)</f>
        <v>#CF009E</v>
      </c>
      <c r="O372" s="4">
        <f>VLOOKUP(C372,CHECKS!A:I,6,FALSE)</f>
        <v>1.55</v>
      </c>
      <c r="P372" s="4">
        <f>VLOOKUP(C372,CHECKS!A:I,7,FALSE)</f>
        <v>4</v>
      </c>
      <c r="Q372" s="4">
        <f>VLOOKUP(C372,CHECKS!A:I,8,FALSE)</f>
        <v>7</v>
      </c>
      <c r="R372">
        <v>370</v>
      </c>
    </row>
    <row r="373" spans="1:18" x14ac:dyDescent="0.2">
      <c r="A373" s="4">
        <v>3720</v>
      </c>
      <c r="B373" s="2" t="s">
        <v>1038</v>
      </c>
      <c r="C373" s="4" t="s">
        <v>1237</v>
      </c>
      <c r="D373" s="2" t="s">
        <v>1234</v>
      </c>
      <c r="E373" s="2" t="s">
        <v>1263</v>
      </c>
      <c r="F373" s="2" t="s">
        <v>1234</v>
      </c>
      <c r="G373" s="4">
        <f t="shared" si="5"/>
        <v>1</v>
      </c>
      <c r="J373" s="2" t="s">
        <v>1349</v>
      </c>
      <c r="L373" s="7">
        <v>48.822583706800003</v>
      </c>
      <c r="M373" s="7">
        <v>2.29846419197</v>
      </c>
      <c r="N373" s="4" t="str">
        <f>VLOOKUP(C373,CHECKS!A:I,9,FALSE)</f>
        <v>#CF009E</v>
      </c>
      <c r="O373" s="4">
        <f>VLOOKUP(C373,CHECKS!A:I,6,FALSE)</f>
        <v>1.55</v>
      </c>
      <c r="P373" s="4">
        <f>VLOOKUP(C373,CHECKS!A:I,7,FALSE)</f>
        <v>4</v>
      </c>
      <c r="Q373" s="4">
        <f>VLOOKUP(C373,CHECKS!A:I,8,FALSE)</f>
        <v>7</v>
      </c>
      <c r="R373">
        <v>371</v>
      </c>
    </row>
    <row r="374" spans="1:18" x14ac:dyDescent="0.2">
      <c r="A374" s="4">
        <v>3730</v>
      </c>
      <c r="B374" s="2" t="s">
        <v>1039</v>
      </c>
      <c r="C374" s="4" t="s">
        <v>1237</v>
      </c>
      <c r="D374" s="2" t="s">
        <v>1235</v>
      </c>
      <c r="E374" s="2" t="s">
        <v>1264</v>
      </c>
      <c r="F374" s="2" t="s">
        <v>1235</v>
      </c>
      <c r="G374" s="4">
        <f t="shared" si="5"/>
        <v>1</v>
      </c>
      <c r="J374" s="2" t="s">
        <v>1350</v>
      </c>
      <c r="L374" s="7">
        <v>48.815307531199998</v>
      </c>
      <c r="M374" s="7">
        <v>2.2970777983300001</v>
      </c>
      <c r="N374" s="4" t="str">
        <f>VLOOKUP(C374,CHECKS!A:I,9,FALSE)</f>
        <v>#CF009E</v>
      </c>
      <c r="O374" s="4">
        <f>VLOOKUP(C374,CHECKS!A:I,6,FALSE)</f>
        <v>1.55</v>
      </c>
      <c r="P374" s="4">
        <f>VLOOKUP(C374,CHECKS!A:I,7,FALSE)</f>
        <v>4</v>
      </c>
      <c r="Q374" s="4">
        <f>VLOOKUP(C374,CHECKS!A:I,8,FALSE)</f>
        <v>7</v>
      </c>
      <c r="R374">
        <v>372</v>
      </c>
    </row>
    <row r="375" spans="1:18" x14ac:dyDescent="0.2">
      <c r="A375" s="4">
        <v>3740</v>
      </c>
      <c r="B375" s="2" t="s">
        <v>1040</v>
      </c>
      <c r="C375" s="4" t="s">
        <v>1237</v>
      </c>
      <c r="D375" s="2" t="s">
        <v>1236</v>
      </c>
      <c r="E375" s="2" t="s">
        <v>1039</v>
      </c>
      <c r="F375" s="2" t="s">
        <v>1236</v>
      </c>
      <c r="G375" s="4">
        <f t="shared" si="5"/>
        <v>2</v>
      </c>
      <c r="I375" s="2" t="s">
        <v>2124</v>
      </c>
      <c r="J375" s="2" t="s">
        <v>1235</v>
      </c>
      <c r="L375" s="7">
        <v>48.810746488600003</v>
      </c>
      <c r="M375" s="7">
        <v>2.3016785554600001</v>
      </c>
      <c r="N375" s="4" t="str">
        <f>VLOOKUP(C375,CHECKS!A:I,9,FALSE)</f>
        <v>#CF009E</v>
      </c>
      <c r="O375" s="4">
        <f>VLOOKUP(C375,CHECKS!A:I,6,FALSE)</f>
        <v>1.55</v>
      </c>
      <c r="P375" s="4">
        <f>VLOOKUP(C375,CHECKS!A:I,7,FALSE)</f>
        <v>4</v>
      </c>
      <c r="Q375" s="4">
        <f>VLOOKUP(C375,CHECKS!A:I,8,FALSE)</f>
        <v>7</v>
      </c>
      <c r="R375">
        <v>373</v>
      </c>
    </row>
    <row r="376" spans="1:18" x14ac:dyDescent="0.2">
      <c r="A376" s="4">
        <v>3750</v>
      </c>
      <c r="B376" s="2" t="s">
        <v>1041</v>
      </c>
      <c r="C376" s="4" t="s">
        <v>1268</v>
      </c>
      <c r="D376" s="2" t="s">
        <v>235</v>
      </c>
      <c r="E376" s="2" t="s">
        <v>1042</v>
      </c>
      <c r="F376" s="2" t="s">
        <v>235</v>
      </c>
      <c r="G376" s="4">
        <f t="shared" si="5"/>
        <v>4</v>
      </c>
      <c r="H376" s="2" t="s">
        <v>1428</v>
      </c>
      <c r="J376" s="2" t="s">
        <v>798</v>
      </c>
      <c r="K376" s="2" t="s">
        <v>1441</v>
      </c>
      <c r="L376" s="7">
        <v>48.875764594000003</v>
      </c>
      <c r="M376" s="7">
        <v>2.3242560326500001</v>
      </c>
      <c r="N376" s="4" t="str">
        <f>VLOOKUP(C376,CHECKS!A:I,9,FALSE)</f>
        <v>#62259D</v>
      </c>
      <c r="O376" s="4">
        <f>VLOOKUP(C376,CHECKS!A:I,6,FALSE)</f>
        <v>1.88</v>
      </c>
      <c r="P376" s="4">
        <f>VLOOKUP(C376,CHECKS!A:I,7,FALSE)</f>
        <v>4</v>
      </c>
      <c r="Q376" s="4">
        <f>VLOOKUP(C376,CHECKS!A:I,8,FALSE)</f>
        <v>7</v>
      </c>
      <c r="R376">
        <v>374</v>
      </c>
    </row>
    <row r="377" spans="1:18" x14ac:dyDescent="0.2">
      <c r="A377" s="4">
        <v>3760</v>
      </c>
      <c r="B377" s="2" t="s">
        <v>1042</v>
      </c>
      <c r="C377" s="4" t="s">
        <v>1268</v>
      </c>
      <c r="D377" s="2" t="s">
        <v>798</v>
      </c>
      <c r="E377" s="2" t="s">
        <v>1291</v>
      </c>
      <c r="F377" s="2" t="s">
        <v>798</v>
      </c>
      <c r="G377" s="4">
        <f t="shared" si="5"/>
        <v>3</v>
      </c>
      <c r="H377" s="2" t="s">
        <v>1406</v>
      </c>
      <c r="J377" s="2" t="s">
        <v>1351</v>
      </c>
      <c r="K377" s="2" t="s">
        <v>1449</v>
      </c>
      <c r="L377" s="7">
        <v>48.870667020900001</v>
      </c>
      <c r="M377" s="7">
        <v>2.3257526352900002</v>
      </c>
      <c r="N377" s="4" t="str">
        <f>VLOOKUP(C377,CHECKS!A:I,9,FALSE)</f>
        <v>#62259D</v>
      </c>
      <c r="O377" s="4">
        <f>VLOOKUP(C377,CHECKS!A:I,6,FALSE)</f>
        <v>1.88</v>
      </c>
      <c r="P377" s="4">
        <f>VLOOKUP(C377,CHECKS!A:I,7,FALSE)</f>
        <v>4</v>
      </c>
      <c r="Q377" s="4">
        <f>VLOOKUP(C377,CHECKS!A:I,8,FALSE)</f>
        <v>7</v>
      </c>
      <c r="R377">
        <v>375</v>
      </c>
    </row>
    <row r="378" spans="1:18" x14ac:dyDescent="0.2">
      <c r="A378" s="4">
        <v>3770</v>
      </c>
      <c r="B378" s="2" t="s">
        <v>1043</v>
      </c>
      <c r="C378" s="4" t="s">
        <v>1268</v>
      </c>
      <c r="D378" s="2" t="s">
        <v>507</v>
      </c>
      <c r="E378" s="2" t="s">
        <v>1292</v>
      </c>
      <c r="F378" s="2" t="s">
        <v>507</v>
      </c>
      <c r="G378" s="4">
        <f t="shared" si="5"/>
        <v>2</v>
      </c>
      <c r="H378" s="2" t="s">
        <v>600</v>
      </c>
      <c r="J378" s="2" t="s">
        <v>1352</v>
      </c>
      <c r="K378" s="2" t="s">
        <v>507</v>
      </c>
      <c r="L378" s="7">
        <v>48.8659067396</v>
      </c>
      <c r="M378" s="7">
        <v>2.3341895419699998</v>
      </c>
      <c r="N378" s="4" t="str">
        <f>VLOOKUP(C378,CHECKS!A:I,9,FALSE)</f>
        <v>#62259D</v>
      </c>
      <c r="O378" s="4">
        <f>VLOOKUP(C378,CHECKS!A:I,6,FALSE)</f>
        <v>1.88</v>
      </c>
      <c r="P378" s="4">
        <f>VLOOKUP(C378,CHECKS!A:I,7,FALSE)</f>
        <v>4</v>
      </c>
      <c r="Q378" s="4">
        <f>VLOOKUP(C378,CHECKS!A:I,8,FALSE)</f>
        <v>7</v>
      </c>
      <c r="R378">
        <v>376</v>
      </c>
    </row>
    <row r="379" spans="1:18" x14ac:dyDescent="0.2">
      <c r="A379" s="4">
        <v>3780</v>
      </c>
      <c r="B379" s="2" t="s">
        <v>1044</v>
      </c>
      <c r="C379" s="4" t="s">
        <v>1268</v>
      </c>
      <c r="D379" s="2" t="s">
        <v>20</v>
      </c>
      <c r="E379" s="2" t="s">
        <v>1293</v>
      </c>
      <c r="F379" s="2" t="s">
        <v>20</v>
      </c>
      <c r="G379" s="4">
        <f t="shared" si="5"/>
        <v>7</v>
      </c>
      <c r="H379" s="2" t="s">
        <v>1392</v>
      </c>
      <c r="I379" s="2" t="s">
        <v>2569</v>
      </c>
      <c r="J379" s="2" t="s">
        <v>1353</v>
      </c>
      <c r="K379" s="2" t="s">
        <v>1436</v>
      </c>
      <c r="L379" s="7">
        <v>48.857708819700001</v>
      </c>
      <c r="M379" s="7">
        <v>2.34794431111</v>
      </c>
      <c r="N379" s="4" t="str">
        <f>VLOOKUP(C379,CHECKS!A:I,9,FALSE)</f>
        <v>#62259D</v>
      </c>
      <c r="O379" s="4">
        <f>VLOOKUP(C379,CHECKS!A:I,6,FALSE)</f>
        <v>1.88</v>
      </c>
      <c r="P379" s="4">
        <f>VLOOKUP(C379,CHECKS!A:I,7,FALSE)</f>
        <v>4</v>
      </c>
      <c r="Q379" s="4">
        <f>VLOOKUP(C379,CHECKS!A:I,8,FALSE)</f>
        <v>7</v>
      </c>
      <c r="R379">
        <v>377</v>
      </c>
    </row>
    <row r="380" spans="1:18" x14ac:dyDescent="0.2">
      <c r="A380" s="4">
        <v>3790</v>
      </c>
      <c r="B380" s="2" t="s">
        <v>1045</v>
      </c>
      <c r="C380" s="4" t="s">
        <v>1268</v>
      </c>
      <c r="D380" s="2" t="s">
        <v>24</v>
      </c>
      <c r="E380" s="2" t="s">
        <v>1294</v>
      </c>
      <c r="F380" s="2" t="s">
        <v>24</v>
      </c>
      <c r="G380" s="4">
        <f t="shared" si="5"/>
        <v>3</v>
      </c>
      <c r="H380" s="2" t="s">
        <v>48</v>
      </c>
      <c r="I380" s="2" t="s">
        <v>2374</v>
      </c>
      <c r="J380" s="2" t="s">
        <v>1354</v>
      </c>
      <c r="K380" s="2" t="s">
        <v>24</v>
      </c>
      <c r="L380" s="7">
        <v>48.843985582000002</v>
      </c>
      <c r="M380" s="7">
        <v>2.3730142199399999</v>
      </c>
      <c r="N380" s="4" t="str">
        <f>VLOOKUP(C380,CHECKS!A:I,9,FALSE)</f>
        <v>#62259D</v>
      </c>
      <c r="O380" s="4">
        <f>VLOOKUP(C380,CHECKS!A:I,6,FALSE)</f>
        <v>1.88</v>
      </c>
      <c r="P380" s="4">
        <f>VLOOKUP(C380,CHECKS!A:I,7,FALSE)</f>
        <v>4</v>
      </c>
      <c r="Q380" s="4">
        <f>VLOOKUP(C380,CHECKS!A:I,8,FALSE)</f>
        <v>7</v>
      </c>
      <c r="R380">
        <v>378</v>
      </c>
    </row>
    <row r="381" spans="1:18" x14ac:dyDescent="0.2">
      <c r="A381" s="4">
        <v>3800</v>
      </c>
      <c r="B381" s="2" t="s">
        <v>1046</v>
      </c>
      <c r="C381" s="4" t="s">
        <v>1268</v>
      </c>
      <c r="D381" s="2" t="s">
        <v>437</v>
      </c>
      <c r="E381" s="2" t="s">
        <v>1295</v>
      </c>
      <c r="F381" s="2" t="s">
        <v>437</v>
      </c>
      <c r="G381" s="4">
        <f t="shared" si="5"/>
        <v>2</v>
      </c>
      <c r="H381" s="2" t="s">
        <v>482</v>
      </c>
      <c r="J381" s="2" t="s">
        <v>1355</v>
      </c>
      <c r="K381" s="2" t="s">
        <v>437</v>
      </c>
      <c r="L381" s="7">
        <v>48.840001389500003</v>
      </c>
      <c r="M381" s="7">
        <v>2.3795540112000002</v>
      </c>
      <c r="N381" s="4" t="str">
        <f>VLOOKUP(C381,CHECKS!A:I,9,FALSE)</f>
        <v>#62259D</v>
      </c>
      <c r="O381" s="4">
        <f>VLOOKUP(C381,CHECKS!A:I,6,FALSE)</f>
        <v>1.88</v>
      </c>
      <c r="P381" s="4">
        <f>VLOOKUP(C381,CHECKS!A:I,7,FALSE)</f>
        <v>4</v>
      </c>
      <c r="Q381" s="4">
        <f>VLOOKUP(C381,CHECKS!A:I,8,FALSE)</f>
        <v>7</v>
      </c>
      <c r="R381">
        <v>379</v>
      </c>
    </row>
    <row r="382" spans="1:18" x14ac:dyDescent="0.2">
      <c r="A382" s="4">
        <v>3810</v>
      </c>
      <c r="B382" s="2" t="s">
        <v>1047</v>
      </c>
      <c r="C382" s="4" t="s">
        <v>1268</v>
      </c>
      <c r="D382" s="2" t="s">
        <v>1265</v>
      </c>
      <c r="E382" s="2" t="s">
        <v>1296</v>
      </c>
      <c r="F382" s="2" t="s">
        <v>1265</v>
      </c>
      <c r="G382" s="4">
        <f t="shared" si="5"/>
        <v>1</v>
      </c>
      <c r="J382" s="2" t="s">
        <v>1356</v>
      </c>
      <c r="L382" s="7">
        <v>48.833338559300003</v>
      </c>
      <c r="M382" s="7">
        <v>2.38663240207</v>
      </c>
      <c r="N382" s="4" t="str">
        <f>VLOOKUP(C382,CHECKS!A:I,9,FALSE)</f>
        <v>#62259D</v>
      </c>
      <c r="O382" s="4">
        <f>VLOOKUP(C382,CHECKS!A:I,6,FALSE)</f>
        <v>1.88</v>
      </c>
      <c r="P382" s="4">
        <f>VLOOKUP(C382,CHECKS!A:I,7,FALSE)</f>
        <v>4</v>
      </c>
      <c r="Q382" s="4">
        <f>VLOOKUP(C382,CHECKS!A:I,8,FALSE)</f>
        <v>7</v>
      </c>
      <c r="R382">
        <v>380</v>
      </c>
    </row>
    <row r="383" spans="1:18" x14ac:dyDescent="0.2">
      <c r="A383" s="4">
        <v>3820</v>
      </c>
      <c r="B383" s="2" t="s">
        <v>1048</v>
      </c>
      <c r="C383" s="4" t="s">
        <v>1268</v>
      </c>
      <c r="D383" s="2" t="s">
        <v>1266</v>
      </c>
      <c r="E383" s="2" t="s">
        <v>1297</v>
      </c>
      <c r="F383" s="2" t="s">
        <v>1266</v>
      </c>
      <c r="G383" s="4">
        <f t="shared" si="5"/>
        <v>1</v>
      </c>
      <c r="I383" s="2" t="s">
        <v>1748</v>
      </c>
      <c r="J383" s="2" t="s">
        <v>1357</v>
      </c>
      <c r="L383" s="7">
        <v>48.829990281699999</v>
      </c>
      <c r="M383" s="7">
        <v>2.3757481443400001</v>
      </c>
      <c r="N383" s="4" t="str">
        <f>VLOOKUP(C383,CHECKS!A:I,9,FALSE)</f>
        <v>#62259D</v>
      </c>
      <c r="O383" s="4">
        <f>VLOOKUP(C383,CHECKS!A:I,6,FALSE)</f>
        <v>1.88</v>
      </c>
      <c r="P383" s="4">
        <f>VLOOKUP(C383,CHECKS!A:I,7,FALSE)</f>
        <v>4</v>
      </c>
      <c r="Q383" s="4">
        <f>VLOOKUP(C383,CHECKS!A:I,8,FALSE)</f>
        <v>7</v>
      </c>
      <c r="R383">
        <v>381</v>
      </c>
    </row>
    <row r="384" spans="1:18" x14ac:dyDescent="0.2">
      <c r="A384" s="4">
        <v>3830</v>
      </c>
      <c r="B384" s="2" t="s">
        <v>1049</v>
      </c>
      <c r="C384" s="4" t="s">
        <v>1268</v>
      </c>
      <c r="D384" s="2" t="s">
        <v>1267</v>
      </c>
      <c r="E384" s="2" t="s">
        <v>1048</v>
      </c>
      <c r="F384" s="2" t="s">
        <v>1267</v>
      </c>
      <c r="G384" s="4">
        <f t="shared" si="5"/>
        <v>1</v>
      </c>
      <c r="J384" s="2" t="s">
        <v>1266</v>
      </c>
      <c r="L384" s="7">
        <v>48.827270835999997</v>
      </c>
      <c r="M384" s="7">
        <v>2.3680326477600002</v>
      </c>
      <c r="N384" s="4" t="str">
        <f>VLOOKUP(C384,CHECKS!A:I,9,FALSE)</f>
        <v>#62259D</v>
      </c>
      <c r="O384" s="4">
        <f>VLOOKUP(C384,CHECKS!A:I,6,FALSE)</f>
        <v>1.88</v>
      </c>
      <c r="P384" s="4">
        <f>VLOOKUP(C384,CHECKS!A:I,7,FALSE)</f>
        <v>4</v>
      </c>
      <c r="Q384" s="4">
        <f>VLOOKUP(C384,CHECKS!A:I,8,FALSE)</f>
        <v>7</v>
      </c>
      <c r="R384">
        <v>382</v>
      </c>
    </row>
    <row r="385" spans="1:18" x14ac:dyDescent="0.2">
      <c r="A385" s="4">
        <v>3840</v>
      </c>
      <c r="B385" s="2" t="s">
        <v>1558</v>
      </c>
      <c r="C385" s="4" t="s">
        <v>1525</v>
      </c>
      <c r="D385" s="2" t="s">
        <v>1359</v>
      </c>
      <c r="E385" s="2" t="s">
        <v>1559</v>
      </c>
      <c r="F385" s="2" t="s">
        <v>1359</v>
      </c>
      <c r="G385" s="4">
        <f t="shared" si="5"/>
        <v>2</v>
      </c>
      <c r="I385" s="2" t="s">
        <v>1361</v>
      </c>
      <c r="J385" s="2" t="s">
        <v>1526</v>
      </c>
      <c r="L385" s="7">
        <v>48.930214212300001</v>
      </c>
      <c r="M385" s="7">
        <v>2.28372255733</v>
      </c>
      <c r="N385" s="4" t="str">
        <f>VLOOKUP(C385,CHECKS!A:I,9,FALSE)</f>
        <v>#003CA6</v>
      </c>
      <c r="O385" s="4">
        <f>VLOOKUP(C385,CHECKS!A:I,6,FALSE)</f>
        <v>1.83</v>
      </c>
      <c r="P385" s="4">
        <f>VLOOKUP(C385,CHECKS!A:I,7,FALSE)</f>
        <v>4</v>
      </c>
      <c r="Q385" s="4">
        <f>VLOOKUP(C385,CHECKS!A:I,8,FALSE)</f>
        <v>7</v>
      </c>
      <c r="R385">
        <v>383</v>
      </c>
    </row>
    <row r="386" spans="1:18" x14ac:dyDescent="0.2">
      <c r="A386" s="4">
        <v>3850</v>
      </c>
      <c r="B386" s="2" t="s">
        <v>1559</v>
      </c>
      <c r="C386" s="4" t="s">
        <v>1525</v>
      </c>
      <c r="D386" s="2" t="s">
        <v>1526</v>
      </c>
      <c r="E386" s="2" t="s">
        <v>1594</v>
      </c>
      <c r="F386" s="2" t="s">
        <v>1526</v>
      </c>
      <c r="G386" s="4">
        <f t="shared" ref="G386:G449" si="6">COUNTIF(F:F,F386)</f>
        <v>1</v>
      </c>
      <c r="J386" s="2" t="s">
        <v>1842</v>
      </c>
      <c r="L386" s="7">
        <v>48.931813996899997</v>
      </c>
      <c r="M386" s="7">
        <v>2.2886560059600001</v>
      </c>
      <c r="N386" s="4" t="str">
        <f>VLOOKUP(C386,CHECKS!A:I,9,FALSE)</f>
        <v>#003CA6</v>
      </c>
      <c r="O386" s="4">
        <f>VLOOKUP(C386,CHECKS!A:I,6,FALSE)</f>
        <v>1.83</v>
      </c>
      <c r="P386" s="4">
        <f>VLOOKUP(C386,CHECKS!A:I,7,FALSE)</f>
        <v>4</v>
      </c>
      <c r="Q386" s="4">
        <f>VLOOKUP(C386,CHECKS!A:I,8,FALSE)</f>
        <v>7</v>
      </c>
      <c r="R386">
        <v>384</v>
      </c>
    </row>
    <row r="387" spans="1:18" x14ac:dyDescent="0.2">
      <c r="A387" s="4">
        <v>3860</v>
      </c>
      <c r="B387" s="2" t="s">
        <v>1560</v>
      </c>
      <c r="C387" s="4" t="s">
        <v>1525</v>
      </c>
      <c r="D387" s="2" t="s">
        <v>1527</v>
      </c>
      <c r="E387" s="2" t="s">
        <v>1595</v>
      </c>
      <c r="F387" s="2" t="s">
        <v>1527</v>
      </c>
      <c r="G387" s="4">
        <f t="shared" si="6"/>
        <v>1</v>
      </c>
      <c r="J387" s="2" t="s">
        <v>1843</v>
      </c>
      <c r="L387" s="7">
        <v>48.933355382199998</v>
      </c>
      <c r="M387" s="7">
        <v>2.29460298939</v>
      </c>
      <c r="N387" s="4" t="str">
        <f>VLOOKUP(C387,CHECKS!A:I,9,FALSE)</f>
        <v>#003CA6</v>
      </c>
      <c r="O387" s="4">
        <f>VLOOKUP(C387,CHECKS!A:I,6,FALSE)</f>
        <v>1.83</v>
      </c>
      <c r="P387" s="4">
        <f>VLOOKUP(C387,CHECKS!A:I,7,FALSE)</f>
        <v>4</v>
      </c>
      <c r="Q387" s="4">
        <f>VLOOKUP(C387,CHECKS!A:I,8,FALSE)</f>
        <v>7</v>
      </c>
      <c r="R387">
        <v>385</v>
      </c>
    </row>
    <row r="388" spans="1:18" x14ac:dyDescent="0.2">
      <c r="A388" s="4">
        <v>3870</v>
      </c>
      <c r="B388" s="2" t="s">
        <v>1561</v>
      </c>
      <c r="C388" s="4" t="s">
        <v>1525</v>
      </c>
      <c r="D388" s="2" t="s">
        <v>1528</v>
      </c>
      <c r="E388" s="2" t="s">
        <v>1596</v>
      </c>
      <c r="F388" s="2" t="s">
        <v>1528</v>
      </c>
      <c r="G388" s="4">
        <f t="shared" si="6"/>
        <v>1</v>
      </c>
      <c r="J388" s="2" t="s">
        <v>1844</v>
      </c>
      <c r="L388" s="7">
        <v>48.933393832</v>
      </c>
      <c r="M388" s="7">
        <v>2.3005933993799998</v>
      </c>
      <c r="N388" s="4" t="str">
        <f>VLOOKUP(C388,CHECKS!A:I,9,FALSE)</f>
        <v>#003CA6</v>
      </c>
      <c r="O388" s="4">
        <f>VLOOKUP(C388,CHECKS!A:I,6,FALSE)</f>
        <v>1.83</v>
      </c>
      <c r="P388" s="4">
        <f>VLOOKUP(C388,CHECKS!A:I,7,FALSE)</f>
        <v>4</v>
      </c>
      <c r="Q388" s="4">
        <f>VLOOKUP(C388,CHECKS!A:I,8,FALSE)</f>
        <v>7</v>
      </c>
      <c r="R388">
        <v>386</v>
      </c>
    </row>
    <row r="389" spans="1:18" x14ac:dyDescent="0.2">
      <c r="A389" s="4">
        <v>3880</v>
      </c>
      <c r="B389" s="2" t="s">
        <v>1562</v>
      </c>
      <c r="C389" s="4" t="s">
        <v>1525</v>
      </c>
      <c r="D389" s="2" t="s">
        <v>1529</v>
      </c>
      <c r="E389" s="2" t="s">
        <v>1597</v>
      </c>
      <c r="F389" s="2" t="s">
        <v>1529</v>
      </c>
      <c r="G389" s="4">
        <f t="shared" si="6"/>
        <v>1</v>
      </c>
      <c r="J389" s="2" t="s">
        <v>1845</v>
      </c>
      <c r="L389" s="7">
        <v>48.933449840800002</v>
      </c>
      <c r="M389" s="7">
        <v>2.3070896535299998</v>
      </c>
      <c r="N389" s="4" t="str">
        <f>VLOOKUP(C389,CHECKS!A:I,9,FALSE)</f>
        <v>#003CA6</v>
      </c>
      <c r="O389" s="4">
        <f>VLOOKUP(C389,CHECKS!A:I,6,FALSE)</f>
        <v>1.83</v>
      </c>
      <c r="P389" s="4">
        <f>VLOOKUP(C389,CHECKS!A:I,7,FALSE)</f>
        <v>4</v>
      </c>
      <c r="Q389" s="4">
        <f>VLOOKUP(C389,CHECKS!A:I,8,FALSE)</f>
        <v>7</v>
      </c>
      <c r="R389">
        <v>387</v>
      </c>
    </row>
    <row r="390" spans="1:18" x14ac:dyDescent="0.2">
      <c r="A390" s="4">
        <v>3890</v>
      </c>
      <c r="B390" s="2" t="s">
        <v>1563</v>
      </c>
      <c r="C390" s="4" t="s">
        <v>1525</v>
      </c>
      <c r="D390" s="2" t="s">
        <v>1530</v>
      </c>
      <c r="E390" s="2" t="s">
        <v>1598</v>
      </c>
      <c r="F390" s="2" t="s">
        <v>1530</v>
      </c>
      <c r="G390" s="4">
        <f t="shared" si="6"/>
        <v>1</v>
      </c>
      <c r="J390" s="2" t="s">
        <v>1846</v>
      </c>
      <c r="L390" s="7">
        <v>48.933932028900003</v>
      </c>
      <c r="M390" s="7">
        <v>2.3131326405000001</v>
      </c>
      <c r="N390" s="4" t="str">
        <f>VLOOKUP(C390,CHECKS!A:I,9,FALSE)</f>
        <v>#003CA6</v>
      </c>
      <c r="O390" s="4">
        <f>VLOOKUP(C390,CHECKS!A:I,6,FALSE)</f>
        <v>1.83</v>
      </c>
      <c r="P390" s="4">
        <f>VLOOKUP(C390,CHECKS!A:I,7,FALSE)</f>
        <v>4</v>
      </c>
      <c r="Q390" s="4">
        <f>VLOOKUP(C390,CHECKS!A:I,8,FALSE)</f>
        <v>7</v>
      </c>
      <c r="R390">
        <v>388</v>
      </c>
    </row>
    <row r="391" spans="1:18" x14ac:dyDescent="0.2">
      <c r="A391" s="4">
        <v>3900</v>
      </c>
      <c r="B391" s="2" t="s">
        <v>1564</v>
      </c>
      <c r="C391" s="4" t="s">
        <v>1525</v>
      </c>
      <c r="D391" s="2" t="s">
        <v>1531</v>
      </c>
      <c r="E391" s="2" t="s">
        <v>1599</v>
      </c>
      <c r="F391" s="2" t="s">
        <v>1531</v>
      </c>
      <c r="G391" s="4">
        <f t="shared" si="6"/>
        <v>1</v>
      </c>
      <c r="J391" s="2" t="s">
        <v>1847</v>
      </c>
      <c r="L391" s="7">
        <v>48.934608567700003</v>
      </c>
      <c r="M391" s="7">
        <v>2.3214951981700001</v>
      </c>
      <c r="N391" s="4" t="str">
        <f>VLOOKUP(C391,CHECKS!A:I,9,FALSE)</f>
        <v>#003CA6</v>
      </c>
      <c r="O391" s="4">
        <f>VLOOKUP(C391,CHECKS!A:I,6,FALSE)</f>
        <v>1.83</v>
      </c>
      <c r="P391" s="4">
        <f>VLOOKUP(C391,CHECKS!A:I,7,FALSE)</f>
        <v>4</v>
      </c>
      <c r="Q391" s="4">
        <f>VLOOKUP(C391,CHECKS!A:I,8,FALSE)</f>
        <v>7</v>
      </c>
      <c r="R391">
        <v>389</v>
      </c>
    </row>
    <row r="392" spans="1:18" x14ac:dyDescent="0.2">
      <c r="A392" s="4">
        <v>3910</v>
      </c>
      <c r="B392" s="2" t="s">
        <v>1565</v>
      </c>
      <c r="C392" s="4" t="s">
        <v>1525</v>
      </c>
      <c r="D392" s="2" t="s">
        <v>1532</v>
      </c>
      <c r="E392" s="2" t="s">
        <v>1600</v>
      </c>
      <c r="F392" s="2" t="s">
        <v>1532</v>
      </c>
      <c r="G392" s="4">
        <f t="shared" si="6"/>
        <v>1</v>
      </c>
      <c r="J392" s="2" t="s">
        <v>1848</v>
      </c>
      <c r="L392" s="7">
        <v>48.934975826699997</v>
      </c>
      <c r="M392" s="7">
        <v>2.32679331227</v>
      </c>
      <c r="N392" s="4" t="str">
        <f>VLOOKUP(C392,CHECKS!A:I,9,FALSE)</f>
        <v>#003CA6</v>
      </c>
      <c r="O392" s="4">
        <f>VLOOKUP(C392,CHECKS!A:I,6,FALSE)</f>
        <v>1.83</v>
      </c>
      <c r="P392" s="4">
        <f>VLOOKUP(C392,CHECKS!A:I,7,FALSE)</f>
        <v>4</v>
      </c>
      <c r="Q392" s="4">
        <f>VLOOKUP(C392,CHECKS!A:I,8,FALSE)</f>
        <v>7</v>
      </c>
      <c r="R392">
        <v>390</v>
      </c>
    </row>
    <row r="393" spans="1:18" x14ac:dyDescent="0.2">
      <c r="A393" s="4">
        <v>3920</v>
      </c>
      <c r="B393" s="2" t="s">
        <v>1566</v>
      </c>
      <c r="C393" s="4" t="s">
        <v>1525</v>
      </c>
      <c r="D393" s="2" t="s">
        <v>1533</v>
      </c>
      <c r="E393" s="2" t="s">
        <v>1601</v>
      </c>
      <c r="F393" s="2" t="s">
        <v>1533</v>
      </c>
      <c r="G393" s="4">
        <f t="shared" si="6"/>
        <v>1</v>
      </c>
      <c r="J393" s="2" t="s">
        <v>1849</v>
      </c>
      <c r="L393" s="7">
        <v>48.935605709299999</v>
      </c>
      <c r="M393" s="7">
        <v>2.3343329131599999</v>
      </c>
      <c r="N393" s="4" t="str">
        <f>VLOOKUP(C393,CHECKS!A:I,9,FALSE)</f>
        <v>#003CA6</v>
      </c>
      <c r="O393" s="4">
        <f>VLOOKUP(C393,CHECKS!A:I,6,FALSE)</f>
        <v>1.83</v>
      </c>
      <c r="P393" s="4">
        <f>VLOOKUP(C393,CHECKS!A:I,7,FALSE)</f>
        <v>4</v>
      </c>
      <c r="Q393" s="4">
        <f>VLOOKUP(C393,CHECKS!A:I,8,FALSE)</f>
        <v>7</v>
      </c>
      <c r="R393">
        <v>391</v>
      </c>
    </row>
    <row r="394" spans="1:18" x14ac:dyDescent="0.2">
      <c r="A394" s="4">
        <v>3930</v>
      </c>
      <c r="B394" s="2" t="s">
        <v>1567</v>
      </c>
      <c r="C394" s="4" t="s">
        <v>1525</v>
      </c>
      <c r="D394" s="2" t="s">
        <v>1534</v>
      </c>
      <c r="E394" s="2" t="s">
        <v>1602</v>
      </c>
      <c r="F394" s="2" t="s">
        <v>1534</v>
      </c>
      <c r="G394" s="4">
        <f t="shared" si="6"/>
        <v>1</v>
      </c>
      <c r="J394" s="2" t="s">
        <v>1850</v>
      </c>
      <c r="L394" s="7">
        <v>48.935748042100002</v>
      </c>
      <c r="M394" s="7">
        <v>2.33910838701</v>
      </c>
      <c r="N394" s="4" t="str">
        <f>VLOOKUP(C394,CHECKS!A:I,9,FALSE)</f>
        <v>#003CA6</v>
      </c>
      <c r="O394" s="4">
        <f>VLOOKUP(C394,CHECKS!A:I,6,FALSE)</f>
        <v>1.83</v>
      </c>
      <c r="P394" s="4">
        <f>VLOOKUP(C394,CHECKS!A:I,7,FALSE)</f>
        <v>4</v>
      </c>
      <c r="Q394" s="4">
        <f>VLOOKUP(C394,CHECKS!A:I,8,FALSE)</f>
        <v>7</v>
      </c>
      <c r="R394">
        <v>392</v>
      </c>
    </row>
    <row r="395" spans="1:18" x14ac:dyDescent="0.2">
      <c r="A395" s="4">
        <v>3940</v>
      </c>
      <c r="B395" s="2" t="s">
        <v>1568</v>
      </c>
      <c r="C395" s="4" t="s">
        <v>1525</v>
      </c>
      <c r="D395" s="2" t="s">
        <v>1535</v>
      </c>
      <c r="E395" s="2" t="s">
        <v>1603</v>
      </c>
      <c r="F395" s="2" t="s">
        <v>1535</v>
      </c>
      <c r="G395" s="4">
        <f t="shared" si="6"/>
        <v>2</v>
      </c>
      <c r="H395" s="2" t="s">
        <v>2185</v>
      </c>
      <c r="J395" s="2" t="s">
        <v>1851</v>
      </c>
      <c r="K395" s="2" t="s">
        <v>1535</v>
      </c>
      <c r="L395" s="7">
        <v>48.936134692300001</v>
      </c>
      <c r="M395" s="7">
        <v>2.3464437624199999</v>
      </c>
      <c r="N395" s="4" t="str">
        <f>VLOOKUP(C395,CHECKS!A:I,9,FALSE)</f>
        <v>#003CA6</v>
      </c>
      <c r="O395" s="4">
        <f>VLOOKUP(C395,CHECKS!A:I,6,FALSE)</f>
        <v>1.83</v>
      </c>
      <c r="P395" s="4">
        <f>VLOOKUP(C395,CHECKS!A:I,7,FALSE)</f>
        <v>4</v>
      </c>
      <c r="Q395" s="4">
        <f>VLOOKUP(C395,CHECKS!A:I,8,FALSE)</f>
        <v>7</v>
      </c>
      <c r="R395">
        <v>393</v>
      </c>
    </row>
    <row r="396" spans="1:18" x14ac:dyDescent="0.2">
      <c r="A396" s="4">
        <v>3950</v>
      </c>
      <c r="B396" s="2" t="s">
        <v>1569</v>
      </c>
      <c r="C396" s="4" t="s">
        <v>1525</v>
      </c>
      <c r="D396" s="2" t="s">
        <v>1536</v>
      </c>
      <c r="E396" s="2" t="s">
        <v>1604</v>
      </c>
      <c r="F396" s="2" t="s">
        <v>1536</v>
      </c>
      <c r="G396" s="4">
        <f t="shared" si="6"/>
        <v>1</v>
      </c>
      <c r="J396" s="2" t="s">
        <v>1852</v>
      </c>
      <c r="L396" s="7">
        <v>48.937509896400002</v>
      </c>
      <c r="M396" s="7">
        <v>2.3504000185399998</v>
      </c>
      <c r="N396" s="4" t="str">
        <f>VLOOKUP(C396,CHECKS!A:I,9,FALSE)</f>
        <v>#003CA6</v>
      </c>
      <c r="O396" s="4">
        <f>VLOOKUP(C396,CHECKS!A:I,6,FALSE)</f>
        <v>1.83</v>
      </c>
      <c r="P396" s="4">
        <f>VLOOKUP(C396,CHECKS!A:I,7,FALSE)</f>
        <v>4</v>
      </c>
      <c r="Q396" s="4">
        <f>VLOOKUP(C396,CHECKS!A:I,8,FALSE)</f>
        <v>7</v>
      </c>
      <c r="R396">
        <v>394</v>
      </c>
    </row>
    <row r="397" spans="1:18" x14ac:dyDescent="0.2">
      <c r="A397" s="4">
        <v>3960</v>
      </c>
      <c r="B397" s="2" t="s">
        <v>1570</v>
      </c>
      <c r="C397" s="4" t="s">
        <v>1525</v>
      </c>
      <c r="D397" s="2" t="s">
        <v>1537</v>
      </c>
      <c r="E397" s="2" t="s">
        <v>1605</v>
      </c>
      <c r="F397" s="2" t="s">
        <v>1537</v>
      </c>
      <c r="G397" s="4">
        <f t="shared" si="6"/>
        <v>2</v>
      </c>
      <c r="H397" s="2" t="s">
        <v>2055</v>
      </c>
      <c r="J397" s="2" t="s">
        <v>1853</v>
      </c>
      <c r="K397" s="2" t="s">
        <v>1537</v>
      </c>
      <c r="L397" s="7">
        <v>48.938597775200002</v>
      </c>
      <c r="M397" s="7">
        <v>2.3559028104199999</v>
      </c>
      <c r="N397" s="4" t="str">
        <f>VLOOKUP(C397,CHECKS!A:I,9,FALSE)</f>
        <v>#003CA6</v>
      </c>
      <c r="O397" s="4">
        <f>VLOOKUP(C397,CHECKS!A:I,6,FALSE)</f>
        <v>1.83</v>
      </c>
      <c r="P397" s="4">
        <f>VLOOKUP(C397,CHECKS!A:I,7,FALSE)</f>
        <v>4</v>
      </c>
      <c r="Q397" s="4">
        <f>VLOOKUP(C397,CHECKS!A:I,8,FALSE)</f>
        <v>7</v>
      </c>
      <c r="R397">
        <v>395</v>
      </c>
    </row>
    <row r="398" spans="1:18" x14ac:dyDescent="0.2">
      <c r="A398" s="4">
        <v>3970</v>
      </c>
      <c r="B398" s="2" t="s">
        <v>1571</v>
      </c>
      <c r="C398" s="4" t="s">
        <v>1525</v>
      </c>
      <c r="D398" s="2" t="s">
        <v>1217</v>
      </c>
      <c r="E398" s="2" t="s">
        <v>1606</v>
      </c>
      <c r="F398" s="2" t="s">
        <v>1217</v>
      </c>
      <c r="G398" s="4">
        <f t="shared" si="6"/>
        <v>2</v>
      </c>
      <c r="I398" s="2" t="s">
        <v>1012</v>
      </c>
      <c r="J398" s="2" t="s">
        <v>1854</v>
      </c>
      <c r="L398" s="7">
        <v>48.938082614999999</v>
      </c>
      <c r="M398" s="7">
        <v>2.3607460437599999</v>
      </c>
      <c r="N398" s="4" t="str">
        <f>VLOOKUP(C398,CHECKS!A:I,9,FALSE)</f>
        <v>#003CA6</v>
      </c>
      <c r="O398" s="4">
        <f>VLOOKUP(C398,CHECKS!A:I,6,FALSE)</f>
        <v>1.83</v>
      </c>
      <c r="P398" s="4">
        <f>VLOOKUP(C398,CHECKS!A:I,7,FALSE)</f>
        <v>4</v>
      </c>
      <c r="Q398" s="4">
        <f>VLOOKUP(C398,CHECKS!A:I,8,FALSE)</f>
        <v>7</v>
      </c>
      <c r="R398">
        <v>396</v>
      </c>
    </row>
    <row r="399" spans="1:18" x14ac:dyDescent="0.2">
      <c r="A399" s="4">
        <v>3980</v>
      </c>
      <c r="B399" s="2" t="s">
        <v>1572</v>
      </c>
      <c r="C399" s="4" t="s">
        <v>1525</v>
      </c>
      <c r="D399" s="2" t="s">
        <v>1538</v>
      </c>
      <c r="E399" s="2" t="s">
        <v>1607</v>
      </c>
      <c r="F399" s="2" t="s">
        <v>1538</v>
      </c>
      <c r="G399" s="4">
        <f t="shared" si="6"/>
        <v>1</v>
      </c>
      <c r="J399" s="2" t="s">
        <v>1855</v>
      </c>
      <c r="L399" s="7">
        <v>48.936389147100002</v>
      </c>
      <c r="M399" s="7">
        <v>2.3636407022000001</v>
      </c>
      <c r="N399" s="4" t="str">
        <f>VLOOKUP(C399,CHECKS!A:I,9,FALSE)</f>
        <v>#003CA6</v>
      </c>
      <c r="O399" s="4">
        <f>VLOOKUP(C399,CHECKS!A:I,6,FALSE)</f>
        <v>1.83</v>
      </c>
      <c r="P399" s="4">
        <f>VLOOKUP(C399,CHECKS!A:I,7,FALSE)</f>
        <v>4</v>
      </c>
      <c r="Q399" s="4">
        <f>VLOOKUP(C399,CHECKS!A:I,8,FALSE)</f>
        <v>7</v>
      </c>
      <c r="R399">
        <v>397</v>
      </c>
    </row>
    <row r="400" spans="1:18" x14ac:dyDescent="0.2">
      <c r="A400" s="4">
        <v>3990</v>
      </c>
      <c r="B400" s="2" t="s">
        <v>1573</v>
      </c>
      <c r="C400" s="4" t="s">
        <v>1525</v>
      </c>
      <c r="D400" s="2" t="s">
        <v>1539</v>
      </c>
      <c r="E400" s="2" t="s">
        <v>1608</v>
      </c>
      <c r="F400" s="2" t="s">
        <v>1539</v>
      </c>
      <c r="G400" s="4">
        <f t="shared" si="6"/>
        <v>1</v>
      </c>
      <c r="J400" s="2" t="s">
        <v>1856</v>
      </c>
      <c r="L400" s="7">
        <v>48.933586403699998</v>
      </c>
      <c r="M400" s="7">
        <v>2.37108317162</v>
      </c>
      <c r="N400" s="4" t="str">
        <f>VLOOKUP(C400,CHECKS!A:I,9,FALSE)</f>
        <v>#003CA6</v>
      </c>
      <c r="O400" s="4">
        <f>VLOOKUP(C400,CHECKS!A:I,6,FALSE)</f>
        <v>1.83</v>
      </c>
      <c r="P400" s="4">
        <f>VLOOKUP(C400,CHECKS!A:I,7,FALSE)</f>
        <v>4</v>
      </c>
      <c r="Q400" s="4">
        <f>VLOOKUP(C400,CHECKS!A:I,8,FALSE)</f>
        <v>7</v>
      </c>
      <c r="R400">
        <v>398</v>
      </c>
    </row>
    <row r="401" spans="1:18" x14ac:dyDescent="0.2">
      <c r="A401" s="4">
        <v>4000</v>
      </c>
      <c r="B401" s="2" t="s">
        <v>1574</v>
      </c>
      <c r="C401" s="4" t="s">
        <v>1525</v>
      </c>
      <c r="D401" s="2" t="s">
        <v>1540</v>
      </c>
      <c r="E401" s="2" t="s">
        <v>1609</v>
      </c>
      <c r="F401" s="2" t="s">
        <v>1540</v>
      </c>
      <c r="G401" s="4">
        <f t="shared" si="6"/>
        <v>1</v>
      </c>
      <c r="J401" s="2" t="s">
        <v>1857</v>
      </c>
      <c r="L401" s="7">
        <v>48.931734825500001</v>
      </c>
      <c r="M401" s="7">
        <v>2.3782254904000002</v>
      </c>
      <c r="N401" s="4" t="str">
        <f>VLOOKUP(C401,CHECKS!A:I,9,FALSE)</f>
        <v>#003CA6</v>
      </c>
      <c r="O401" s="4">
        <f>VLOOKUP(C401,CHECKS!A:I,6,FALSE)</f>
        <v>1.83</v>
      </c>
      <c r="P401" s="4">
        <f>VLOOKUP(C401,CHECKS!A:I,7,FALSE)</f>
        <v>4</v>
      </c>
      <c r="Q401" s="4">
        <f>VLOOKUP(C401,CHECKS!A:I,8,FALSE)</f>
        <v>7</v>
      </c>
      <c r="R401">
        <v>399</v>
      </c>
    </row>
    <row r="402" spans="1:18" x14ac:dyDescent="0.2">
      <c r="A402" s="4">
        <v>4010</v>
      </c>
      <c r="B402" s="2" t="s">
        <v>1575</v>
      </c>
      <c r="C402" s="4" t="s">
        <v>1525</v>
      </c>
      <c r="D402" s="2" t="s">
        <v>1541</v>
      </c>
      <c r="E402" s="2" t="s">
        <v>1610</v>
      </c>
      <c r="F402" s="2" t="s">
        <v>1541</v>
      </c>
      <c r="G402" s="4">
        <f t="shared" si="6"/>
        <v>1</v>
      </c>
      <c r="J402" s="2" t="s">
        <v>1858</v>
      </c>
      <c r="L402" s="7">
        <v>48.9299710262</v>
      </c>
      <c r="M402" s="7">
        <v>2.3847588614399999</v>
      </c>
      <c r="N402" s="4" t="str">
        <f>VLOOKUP(C402,CHECKS!A:I,9,FALSE)</f>
        <v>#003CA6</v>
      </c>
      <c r="O402" s="4">
        <f>VLOOKUP(C402,CHECKS!A:I,6,FALSE)</f>
        <v>1.83</v>
      </c>
      <c r="P402" s="4">
        <f>VLOOKUP(C402,CHECKS!A:I,7,FALSE)</f>
        <v>4</v>
      </c>
      <c r="Q402" s="4">
        <f>VLOOKUP(C402,CHECKS!A:I,8,FALSE)</f>
        <v>7</v>
      </c>
      <c r="R402">
        <v>400</v>
      </c>
    </row>
    <row r="403" spans="1:18" x14ac:dyDescent="0.2">
      <c r="A403" s="4">
        <v>4020</v>
      </c>
      <c r="B403" s="2" t="s">
        <v>1576</v>
      </c>
      <c r="C403" s="4" t="s">
        <v>1525</v>
      </c>
      <c r="D403" s="2" t="s">
        <v>1542</v>
      </c>
      <c r="E403" s="2" t="s">
        <v>1611</v>
      </c>
      <c r="F403" s="2" t="s">
        <v>1542</v>
      </c>
      <c r="G403" s="4">
        <f t="shared" si="6"/>
        <v>1</v>
      </c>
      <c r="J403" s="2" t="s">
        <v>1859</v>
      </c>
      <c r="L403" s="7">
        <v>48.927402890800003</v>
      </c>
      <c r="M403" s="7">
        <v>2.3924711193300001</v>
      </c>
      <c r="N403" s="4" t="str">
        <f>VLOOKUP(C403,CHECKS!A:I,9,FALSE)</f>
        <v>#003CA6</v>
      </c>
      <c r="O403" s="4">
        <f>VLOOKUP(C403,CHECKS!A:I,6,FALSE)</f>
        <v>1.83</v>
      </c>
      <c r="P403" s="4">
        <f>VLOOKUP(C403,CHECKS!A:I,7,FALSE)</f>
        <v>4</v>
      </c>
      <c r="Q403" s="4">
        <f>VLOOKUP(C403,CHECKS!A:I,8,FALSE)</f>
        <v>7</v>
      </c>
      <c r="R403">
        <v>401</v>
      </c>
    </row>
    <row r="404" spans="1:18" x14ac:dyDescent="0.2">
      <c r="A404" s="4">
        <v>4030</v>
      </c>
      <c r="B404" s="2" t="s">
        <v>1577</v>
      </c>
      <c r="C404" s="4" t="s">
        <v>1525</v>
      </c>
      <c r="D404" s="2" t="s">
        <v>1543</v>
      </c>
      <c r="E404" s="2" t="s">
        <v>1612</v>
      </c>
      <c r="F404" s="2" t="s">
        <v>1543</v>
      </c>
      <c r="G404" s="4">
        <f t="shared" si="6"/>
        <v>1</v>
      </c>
      <c r="J404" s="2" t="s">
        <v>1860</v>
      </c>
      <c r="L404" s="7">
        <v>48.924375143399999</v>
      </c>
      <c r="M404" s="7">
        <v>2.4020734143600002</v>
      </c>
      <c r="N404" s="4" t="str">
        <f>VLOOKUP(C404,CHECKS!A:I,9,FALSE)</f>
        <v>#003CA6</v>
      </c>
      <c r="O404" s="4">
        <f>VLOOKUP(C404,CHECKS!A:I,6,FALSE)</f>
        <v>1.83</v>
      </c>
      <c r="P404" s="4">
        <f>VLOOKUP(C404,CHECKS!A:I,7,FALSE)</f>
        <v>4</v>
      </c>
      <c r="Q404" s="4">
        <f>VLOOKUP(C404,CHECKS!A:I,8,FALSE)</f>
        <v>7</v>
      </c>
      <c r="R404">
        <v>402</v>
      </c>
    </row>
    <row r="405" spans="1:18" x14ac:dyDescent="0.2">
      <c r="A405" s="4">
        <v>4040</v>
      </c>
      <c r="B405" s="2" t="s">
        <v>1578</v>
      </c>
      <c r="C405" s="4" t="s">
        <v>1525</v>
      </c>
      <c r="D405" s="2" t="s">
        <v>1544</v>
      </c>
      <c r="E405" s="2" t="s">
        <v>1613</v>
      </c>
      <c r="F405" s="2" t="s">
        <v>1544</v>
      </c>
      <c r="G405" s="4">
        <f t="shared" si="6"/>
        <v>1</v>
      </c>
      <c r="J405" s="2" t="s">
        <v>1861</v>
      </c>
      <c r="L405" s="7">
        <v>48.922711189300003</v>
      </c>
      <c r="M405" s="7">
        <v>2.4066227537099998</v>
      </c>
      <c r="N405" s="4" t="str">
        <f>VLOOKUP(C405,CHECKS!A:I,9,FALSE)</f>
        <v>#003CA6</v>
      </c>
      <c r="O405" s="4">
        <f>VLOOKUP(C405,CHECKS!A:I,6,FALSE)</f>
        <v>1.83</v>
      </c>
      <c r="P405" s="4">
        <f>VLOOKUP(C405,CHECKS!A:I,7,FALSE)</f>
        <v>4</v>
      </c>
      <c r="Q405" s="4">
        <f>VLOOKUP(C405,CHECKS!A:I,8,FALSE)</f>
        <v>7</v>
      </c>
      <c r="R405">
        <v>403</v>
      </c>
    </row>
    <row r="406" spans="1:18" x14ac:dyDescent="0.2">
      <c r="A406" s="4">
        <v>4050</v>
      </c>
      <c r="B406" s="2" t="s">
        <v>1579</v>
      </c>
      <c r="C406" s="4" t="s">
        <v>1525</v>
      </c>
      <c r="D406" s="2" t="s">
        <v>494</v>
      </c>
      <c r="E406" s="2" t="s">
        <v>1614</v>
      </c>
      <c r="F406" s="2" t="s">
        <v>494</v>
      </c>
      <c r="G406" s="4">
        <f t="shared" si="6"/>
        <v>2</v>
      </c>
      <c r="I406" s="2" t="s">
        <v>569</v>
      </c>
      <c r="J406" s="2" t="s">
        <v>1862</v>
      </c>
      <c r="L406" s="7">
        <v>48.920785969999997</v>
      </c>
      <c r="M406" s="7">
        <v>2.4105986150900001</v>
      </c>
      <c r="N406" s="4" t="str">
        <f>VLOOKUP(C406,CHECKS!A:I,9,FALSE)</f>
        <v>#003CA6</v>
      </c>
      <c r="O406" s="4">
        <f>VLOOKUP(C406,CHECKS!A:I,6,FALSE)</f>
        <v>1.83</v>
      </c>
      <c r="P406" s="4">
        <f>VLOOKUP(C406,CHECKS!A:I,7,FALSE)</f>
        <v>4</v>
      </c>
      <c r="Q406" s="4">
        <f>VLOOKUP(C406,CHECKS!A:I,8,FALSE)</f>
        <v>7</v>
      </c>
      <c r="R406">
        <v>404</v>
      </c>
    </row>
    <row r="407" spans="1:18" x14ac:dyDescent="0.2">
      <c r="A407" s="4">
        <v>4060</v>
      </c>
      <c r="B407" s="2" t="s">
        <v>1580</v>
      </c>
      <c r="C407" s="4" t="s">
        <v>1525</v>
      </c>
      <c r="D407" s="2" t="s">
        <v>1545</v>
      </c>
      <c r="E407" s="2" t="s">
        <v>1615</v>
      </c>
      <c r="F407" s="2" t="s">
        <v>1545</v>
      </c>
      <c r="G407" s="4">
        <f t="shared" si="6"/>
        <v>1</v>
      </c>
      <c r="J407" s="2" t="s">
        <v>1863</v>
      </c>
      <c r="L407" s="7">
        <v>48.919179027699997</v>
      </c>
      <c r="M407" s="7">
        <v>2.41383718232</v>
      </c>
      <c r="N407" s="4" t="str">
        <f>VLOOKUP(C407,CHECKS!A:I,9,FALSE)</f>
        <v>#003CA6</v>
      </c>
      <c r="O407" s="4">
        <f>VLOOKUP(C407,CHECKS!A:I,6,FALSE)</f>
        <v>1.83</v>
      </c>
      <c r="P407" s="4">
        <f>VLOOKUP(C407,CHECKS!A:I,7,FALSE)</f>
        <v>4</v>
      </c>
      <c r="Q407" s="4">
        <f>VLOOKUP(C407,CHECKS!A:I,8,FALSE)</f>
        <v>7</v>
      </c>
      <c r="R407">
        <v>405</v>
      </c>
    </row>
    <row r="408" spans="1:18" x14ac:dyDescent="0.2">
      <c r="A408" s="4">
        <v>4070</v>
      </c>
      <c r="B408" s="2" t="s">
        <v>1581</v>
      </c>
      <c r="C408" s="4" t="s">
        <v>1525</v>
      </c>
      <c r="D408" s="2" t="s">
        <v>1546</v>
      </c>
      <c r="E408" s="2" t="s">
        <v>1616</v>
      </c>
      <c r="F408" s="2" t="s">
        <v>1546</v>
      </c>
      <c r="G408" s="4">
        <f t="shared" si="6"/>
        <v>2</v>
      </c>
      <c r="J408" s="2" t="s">
        <v>1864</v>
      </c>
      <c r="L408" s="7">
        <v>48.917783725299998</v>
      </c>
      <c r="M408" s="7">
        <v>2.4176910933400002</v>
      </c>
      <c r="N408" s="4" t="str">
        <f>VLOOKUP(C408,CHECKS!A:I,9,FALSE)</f>
        <v>#003CA6</v>
      </c>
      <c r="O408" s="4">
        <f>VLOOKUP(C408,CHECKS!A:I,6,FALSE)</f>
        <v>1.83</v>
      </c>
      <c r="P408" s="4">
        <f>VLOOKUP(C408,CHECKS!A:I,7,FALSE)</f>
        <v>4</v>
      </c>
      <c r="Q408" s="4">
        <f>VLOOKUP(C408,CHECKS!A:I,8,FALSE)</f>
        <v>7</v>
      </c>
      <c r="R408">
        <v>406</v>
      </c>
    </row>
    <row r="409" spans="1:18" x14ac:dyDescent="0.2">
      <c r="A409" s="4">
        <v>4080</v>
      </c>
      <c r="B409" s="2" t="s">
        <v>1582</v>
      </c>
      <c r="C409" s="4" t="s">
        <v>1525</v>
      </c>
      <c r="D409" s="2" t="s">
        <v>1547</v>
      </c>
      <c r="E409" s="2" t="s">
        <v>1617</v>
      </c>
      <c r="F409" s="2" t="s">
        <v>1547</v>
      </c>
      <c r="G409" s="4">
        <f t="shared" si="6"/>
        <v>1</v>
      </c>
      <c r="J409" s="2" t="s">
        <v>1865</v>
      </c>
      <c r="L409" s="7">
        <v>48.915837892900001</v>
      </c>
      <c r="M409" s="7">
        <v>2.42500989427</v>
      </c>
      <c r="N409" s="4" t="str">
        <f>VLOOKUP(C409,CHECKS!A:I,9,FALSE)</f>
        <v>#003CA6</v>
      </c>
      <c r="O409" s="4">
        <f>VLOOKUP(C409,CHECKS!A:I,6,FALSE)</f>
        <v>1.83</v>
      </c>
      <c r="P409" s="4">
        <f>VLOOKUP(C409,CHECKS!A:I,7,FALSE)</f>
        <v>4</v>
      </c>
      <c r="Q409" s="4">
        <f>VLOOKUP(C409,CHECKS!A:I,8,FALSE)</f>
        <v>7</v>
      </c>
      <c r="R409">
        <v>407</v>
      </c>
    </row>
    <row r="410" spans="1:18" x14ac:dyDescent="0.2">
      <c r="A410" s="4">
        <v>4090</v>
      </c>
      <c r="B410" s="2" t="s">
        <v>1583</v>
      </c>
      <c r="C410" s="4" t="s">
        <v>1525</v>
      </c>
      <c r="D410" s="2" t="s">
        <v>1548</v>
      </c>
      <c r="E410" s="2" t="s">
        <v>1618</v>
      </c>
      <c r="F410" s="2" t="s">
        <v>1548</v>
      </c>
      <c r="G410" s="4">
        <f t="shared" si="6"/>
        <v>1</v>
      </c>
      <c r="J410" s="2" t="s">
        <v>1866</v>
      </c>
      <c r="L410" s="7">
        <v>48.914093264400002</v>
      </c>
      <c r="M410" s="7">
        <v>2.4312780034700001</v>
      </c>
      <c r="N410" s="4" t="str">
        <f>VLOOKUP(C410,CHECKS!A:I,9,FALSE)</f>
        <v>#003CA6</v>
      </c>
      <c r="O410" s="4">
        <f>VLOOKUP(C410,CHECKS!A:I,6,FALSE)</f>
        <v>1.83</v>
      </c>
      <c r="P410" s="4">
        <f>VLOOKUP(C410,CHECKS!A:I,7,FALSE)</f>
        <v>4</v>
      </c>
      <c r="Q410" s="4">
        <f>VLOOKUP(C410,CHECKS!A:I,8,FALSE)</f>
        <v>7</v>
      </c>
      <c r="R410">
        <v>408</v>
      </c>
    </row>
    <row r="411" spans="1:18" x14ac:dyDescent="0.2">
      <c r="A411" s="4">
        <v>4100</v>
      </c>
      <c r="B411" s="2" t="s">
        <v>1584</v>
      </c>
      <c r="C411" s="4" t="s">
        <v>1525</v>
      </c>
      <c r="D411" s="2" t="s">
        <v>1549</v>
      </c>
      <c r="E411" s="2" t="s">
        <v>1619</v>
      </c>
      <c r="F411" s="2" t="s">
        <v>1549</v>
      </c>
      <c r="G411" s="4">
        <f t="shared" si="6"/>
        <v>1</v>
      </c>
      <c r="J411" s="2" t="s">
        <v>1867</v>
      </c>
      <c r="L411" s="7">
        <v>48.912704975300002</v>
      </c>
      <c r="M411" s="7">
        <v>2.4354209929900001</v>
      </c>
      <c r="N411" s="4" t="str">
        <f>VLOOKUP(C411,CHECKS!A:I,9,FALSE)</f>
        <v>#003CA6</v>
      </c>
      <c r="O411" s="4">
        <f>VLOOKUP(C411,CHECKS!A:I,6,FALSE)</f>
        <v>1.83</v>
      </c>
      <c r="P411" s="4">
        <f>VLOOKUP(C411,CHECKS!A:I,7,FALSE)</f>
        <v>4</v>
      </c>
      <c r="Q411" s="4">
        <f>VLOOKUP(C411,CHECKS!A:I,8,FALSE)</f>
        <v>7</v>
      </c>
      <c r="R411">
        <v>409</v>
      </c>
    </row>
    <row r="412" spans="1:18" x14ac:dyDescent="0.2">
      <c r="A412" s="4">
        <v>4110</v>
      </c>
      <c r="B412" s="2" t="s">
        <v>1585</v>
      </c>
      <c r="C412" s="4" t="s">
        <v>1525</v>
      </c>
      <c r="D412" s="2" t="s">
        <v>1550</v>
      </c>
      <c r="E412" s="2" t="s">
        <v>1620</v>
      </c>
      <c r="F412" s="2" t="s">
        <v>1550</v>
      </c>
      <c r="G412" s="4">
        <f t="shared" si="6"/>
        <v>1</v>
      </c>
      <c r="J412" s="2" t="s">
        <v>1868</v>
      </c>
      <c r="L412" s="7">
        <v>48.9096663654</v>
      </c>
      <c r="M412" s="7">
        <v>2.4374878035799998</v>
      </c>
      <c r="N412" s="4" t="str">
        <f>VLOOKUP(C412,CHECKS!A:I,9,FALSE)</f>
        <v>#003CA6</v>
      </c>
      <c r="O412" s="4">
        <f>VLOOKUP(C412,CHECKS!A:I,6,FALSE)</f>
        <v>1.83</v>
      </c>
      <c r="P412" s="4">
        <f>VLOOKUP(C412,CHECKS!A:I,7,FALSE)</f>
        <v>4</v>
      </c>
      <c r="Q412" s="4">
        <f>VLOOKUP(C412,CHECKS!A:I,8,FALSE)</f>
        <v>7</v>
      </c>
      <c r="R412">
        <v>410</v>
      </c>
    </row>
    <row r="413" spans="1:18" x14ac:dyDescent="0.2">
      <c r="A413" s="4">
        <v>4120</v>
      </c>
      <c r="B413" s="2" t="s">
        <v>1586</v>
      </c>
      <c r="C413" s="4" t="s">
        <v>1525</v>
      </c>
      <c r="D413" s="2" t="s">
        <v>1551</v>
      </c>
      <c r="E413" s="2" t="s">
        <v>1621</v>
      </c>
      <c r="F413" s="2" t="s">
        <v>1551</v>
      </c>
      <c r="G413" s="4">
        <f t="shared" si="6"/>
        <v>1</v>
      </c>
      <c r="J413" s="2" t="s">
        <v>1869</v>
      </c>
      <c r="L413" s="7">
        <v>48.9069318321</v>
      </c>
      <c r="M413" s="7">
        <v>2.4386244958600001</v>
      </c>
      <c r="N413" s="4" t="str">
        <f>VLOOKUP(C413,CHECKS!A:I,9,FALSE)</f>
        <v>#003CA6</v>
      </c>
      <c r="O413" s="4">
        <f>VLOOKUP(C413,CHECKS!A:I,6,FALSE)</f>
        <v>1.83</v>
      </c>
      <c r="P413" s="4">
        <f>VLOOKUP(C413,CHECKS!A:I,7,FALSE)</f>
        <v>4</v>
      </c>
      <c r="Q413" s="4">
        <f>VLOOKUP(C413,CHECKS!A:I,8,FALSE)</f>
        <v>7</v>
      </c>
      <c r="R413">
        <v>411</v>
      </c>
    </row>
    <row r="414" spans="1:18" x14ac:dyDescent="0.2">
      <c r="A414" s="4">
        <v>4130</v>
      </c>
      <c r="B414" s="2" t="s">
        <v>1587</v>
      </c>
      <c r="C414" s="4" t="s">
        <v>1525</v>
      </c>
      <c r="D414" s="2" t="s">
        <v>1552</v>
      </c>
      <c r="E414" s="2" t="s">
        <v>1622</v>
      </c>
      <c r="F414" s="2" t="s">
        <v>1552</v>
      </c>
      <c r="G414" s="4">
        <f t="shared" si="6"/>
        <v>1</v>
      </c>
      <c r="J414" s="2" t="s">
        <v>1870</v>
      </c>
      <c r="L414" s="7">
        <v>48.906536559099997</v>
      </c>
      <c r="M414" s="7">
        <v>2.4439923345499999</v>
      </c>
      <c r="N414" s="4" t="str">
        <f>VLOOKUP(C414,CHECKS!A:I,9,FALSE)</f>
        <v>#003CA6</v>
      </c>
      <c r="O414" s="4">
        <f>VLOOKUP(C414,CHECKS!A:I,6,FALSE)</f>
        <v>1.83</v>
      </c>
      <c r="P414" s="4">
        <f>VLOOKUP(C414,CHECKS!A:I,7,FALSE)</f>
        <v>4</v>
      </c>
      <c r="Q414" s="4">
        <f>VLOOKUP(C414,CHECKS!A:I,8,FALSE)</f>
        <v>7</v>
      </c>
      <c r="R414">
        <v>412</v>
      </c>
    </row>
    <row r="415" spans="1:18" x14ac:dyDescent="0.2">
      <c r="A415" s="4">
        <v>4140</v>
      </c>
      <c r="B415" s="2" t="s">
        <v>1588</v>
      </c>
      <c r="C415" s="4" t="s">
        <v>1525</v>
      </c>
      <c r="D415" s="2" t="s">
        <v>403</v>
      </c>
      <c r="E415" s="2" t="s">
        <v>1623</v>
      </c>
      <c r="F415" s="2" t="s">
        <v>403</v>
      </c>
      <c r="G415" s="4">
        <f t="shared" si="6"/>
        <v>2</v>
      </c>
      <c r="I415" s="2" t="s">
        <v>378</v>
      </c>
      <c r="J415" s="2" t="s">
        <v>1871</v>
      </c>
      <c r="L415" s="7">
        <v>48.9065332885</v>
      </c>
      <c r="M415" s="7">
        <v>2.4500046630300001</v>
      </c>
      <c r="N415" s="4" t="str">
        <f>VLOOKUP(C415,CHECKS!A:I,9,FALSE)</f>
        <v>#003CA6</v>
      </c>
      <c r="O415" s="4">
        <f>VLOOKUP(C415,CHECKS!A:I,6,FALSE)</f>
        <v>1.83</v>
      </c>
      <c r="P415" s="4">
        <f>VLOOKUP(C415,CHECKS!A:I,7,FALSE)</f>
        <v>4</v>
      </c>
      <c r="Q415" s="4">
        <f>VLOOKUP(C415,CHECKS!A:I,8,FALSE)</f>
        <v>7</v>
      </c>
      <c r="R415">
        <v>413</v>
      </c>
    </row>
    <row r="416" spans="1:18" x14ac:dyDescent="0.2">
      <c r="A416" s="4">
        <v>4150</v>
      </c>
      <c r="B416" s="2" t="s">
        <v>1589</v>
      </c>
      <c r="C416" s="4" t="s">
        <v>1525</v>
      </c>
      <c r="D416" s="2" t="s">
        <v>1553</v>
      </c>
      <c r="E416" s="2" t="s">
        <v>1624</v>
      </c>
      <c r="F416" s="2" t="s">
        <v>1553</v>
      </c>
      <c r="G416" s="4">
        <f t="shared" si="6"/>
        <v>1</v>
      </c>
      <c r="J416" s="2" t="s">
        <v>1872</v>
      </c>
      <c r="L416" s="7">
        <v>48.907812546800002</v>
      </c>
      <c r="M416" s="7">
        <v>2.4543528265200001</v>
      </c>
      <c r="N416" s="4" t="str">
        <f>VLOOKUP(C416,CHECKS!A:I,9,FALSE)</f>
        <v>#003CA6</v>
      </c>
      <c r="O416" s="4">
        <f>VLOOKUP(C416,CHECKS!A:I,6,FALSE)</f>
        <v>1.83</v>
      </c>
      <c r="P416" s="4">
        <f>VLOOKUP(C416,CHECKS!A:I,7,FALSE)</f>
        <v>4</v>
      </c>
      <c r="Q416" s="4">
        <f>VLOOKUP(C416,CHECKS!A:I,8,FALSE)</f>
        <v>7</v>
      </c>
      <c r="R416">
        <v>414</v>
      </c>
    </row>
    <row r="417" spans="1:18" x14ac:dyDescent="0.2">
      <c r="A417" s="4">
        <v>4160</v>
      </c>
      <c r="B417" s="2" t="s">
        <v>1590</v>
      </c>
      <c r="C417" s="4" t="s">
        <v>1525</v>
      </c>
      <c r="D417" s="2" t="s">
        <v>1554</v>
      </c>
      <c r="E417" s="2" t="s">
        <v>1625</v>
      </c>
      <c r="F417" s="2" t="s">
        <v>1554</v>
      </c>
      <c r="G417" s="4">
        <f t="shared" si="6"/>
        <v>1</v>
      </c>
      <c r="J417" s="2" t="s">
        <v>1873</v>
      </c>
      <c r="L417" s="7">
        <v>48.906700631699998</v>
      </c>
      <c r="M417" s="7">
        <v>2.4605234036699999</v>
      </c>
      <c r="N417" s="4" t="str">
        <f>VLOOKUP(C417,CHECKS!A:I,9,FALSE)</f>
        <v>#003CA6</v>
      </c>
      <c r="O417" s="4">
        <f>VLOOKUP(C417,CHECKS!A:I,6,FALSE)</f>
        <v>1.83</v>
      </c>
      <c r="P417" s="4">
        <f>VLOOKUP(C417,CHECKS!A:I,7,FALSE)</f>
        <v>4</v>
      </c>
      <c r="Q417" s="4">
        <f>VLOOKUP(C417,CHECKS!A:I,8,FALSE)</f>
        <v>7</v>
      </c>
      <c r="R417">
        <v>415</v>
      </c>
    </row>
    <row r="418" spans="1:18" x14ac:dyDescent="0.2">
      <c r="A418" s="4">
        <v>4170</v>
      </c>
      <c r="B418" s="2" t="s">
        <v>1591</v>
      </c>
      <c r="C418" s="4" t="s">
        <v>1525</v>
      </c>
      <c r="D418" s="2" t="s">
        <v>1555</v>
      </c>
      <c r="E418" s="2" t="s">
        <v>1626</v>
      </c>
      <c r="F418" s="2" t="s">
        <v>1555</v>
      </c>
      <c r="G418" s="4">
        <f t="shared" si="6"/>
        <v>1</v>
      </c>
      <c r="J418" s="2" t="s">
        <v>1874</v>
      </c>
      <c r="L418" s="7">
        <v>48.904703203799997</v>
      </c>
      <c r="M418" s="7">
        <v>2.4699715436099998</v>
      </c>
      <c r="N418" s="4" t="str">
        <f>VLOOKUP(C418,CHECKS!A:I,9,FALSE)</f>
        <v>#003CA6</v>
      </c>
      <c r="O418" s="4">
        <f>VLOOKUP(C418,CHECKS!A:I,6,FALSE)</f>
        <v>1.83</v>
      </c>
      <c r="P418" s="4">
        <f>VLOOKUP(C418,CHECKS!A:I,7,FALSE)</f>
        <v>4</v>
      </c>
      <c r="Q418" s="4">
        <f>VLOOKUP(C418,CHECKS!A:I,8,FALSE)</f>
        <v>7</v>
      </c>
      <c r="R418">
        <v>416</v>
      </c>
    </row>
    <row r="419" spans="1:18" x14ac:dyDescent="0.2">
      <c r="A419" s="4">
        <v>4180</v>
      </c>
      <c r="B419" s="2" t="s">
        <v>1592</v>
      </c>
      <c r="C419" s="4" t="s">
        <v>1525</v>
      </c>
      <c r="D419" s="2" t="s">
        <v>1556</v>
      </c>
      <c r="E419" s="2" t="s">
        <v>1627</v>
      </c>
      <c r="F419" s="2" t="s">
        <v>1556</v>
      </c>
      <c r="G419" s="4">
        <f t="shared" si="6"/>
        <v>1</v>
      </c>
      <c r="J419" s="2" t="s">
        <v>1875</v>
      </c>
      <c r="L419" s="7">
        <v>48.900417304100003</v>
      </c>
      <c r="M419" s="7">
        <v>2.4654604813600001</v>
      </c>
      <c r="N419" s="4" t="str">
        <f>VLOOKUP(C419,CHECKS!A:I,9,FALSE)</f>
        <v>#003CA6</v>
      </c>
      <c r="O419" s="4">
        <f>VLOOKUP(C419,CHECKS!A:I,6,FALSE)</f>
        <v>1.83</v>
      </c>
      <c r="P419" s="4">
        <f>VLOOKUP(C419,CHECKS!A:I,7,FALSE)</f>
        <v>4</v>
      </c>
      <c r="Q419" s="4">
        <f>VLOOKUP(C419,CHECKS!A:I,8,FALSE)</f>
        <v>7</v>
      </c>
      <c r="R419">
        <v>417</v>
      </c>
    </row>
    <row r="420" spans="1:18" x14ac:dyDescent="0.2">
      <c r="A420" s="4">
        <v>4190</v>
      </c>
      <c r="B420" s="2" t="s">
        <v>1593</v>
      </c>
      <c r="C420" s="4" t="s">
        <v>1525</v>
      </c>
      <c r="D420" s="2" t="s">
        <v>1557</v>
      </c>
      <c r="E420" s="2" t="s">
        <v>1592</v>
      </c>
      <c r="F420" s="2" t="s">
        <v>1557</v>
      </c>
      <c r="G420" s="4">
        <f t="shared" si="6"/>
        <v>1</v>
      </c>
      <c r="J420" s="2" t="s">
        <v>1556</v>
      </c>
      <c r="L420" s="7">
        <v>48.895915836199997</v>
      </c>
      <c r="M420" s="7">
        <v>2.46033007088</v>
      </c>
      <c r="N420" s="4" t="str">
        <f>VLOOKUP(C420,CHECKS!A:I,9,FALSE)</f>
        <v>#003CA6</v>
      </c>
      <c r="O420" s="4">
        <f>VLOOKUP(C420,CHECKS!A:I,6,FALSE)</f>
        <v>1.83</v>
      </c>
      <c r="P420" s="4">
        <f>VLOOKUP(C420,CHECKS!A:I,7,FALSE)</f>
        <v>4</v>
      </c>
      <c r="Q420" s="4">
        <f>VLOOKUP(C420,CHECKS!A:I,8,FALSE)</f>
        <v>7</v>
      </c>
      <c r="R420">
        <v>418</v>
      </c>
    </row>
    <row r="421" spans="1:18" x14ac:dyDescent="0.2">
      <c r="A421" s="4">
        <v>4200</v>
      </c>
      <c r="B421" s="2" t="s">
        <v>1652</v>
      </c>
      <c r="C421" s="4" t="s">
        <v>1650</v>
      </c>
      <c r="D421" s="2" t="s">
        <v>1628</v>
      </c>
      <c r="E421" s="2" t="s">
        <v>1653</v>
      </c>
      <c r="F421" s="2" t="s">
        <v>1628</v>
      </c>
      <c r="G421" s="4">
        <f t="shared" si="6"/>
        <v>1</v>
      </c>
      <c r="J421" s="2" t="s">
        <v>1629</v>
      </c>
      <c r="L421" s="16">
        <v>48.923268254200003</v>
      </c>
      <c r="M421" s="7">
        <v>2.2175897993499998</v>
      </c>
      <c r="N421" s="4" t="str">
        <f>VLOOKUP(C421,CHECKS!A:I,9,FALSE)</f>
        <v>#CF009E</v>
      </c>
      <c r="O421" s="4">
        <f>VLOOKUP(C421,CHECKS!A:I,6,FALSE)</f>
        <v>1.96</v>
      </c>
      <c r="P421" s="4">
        <f>VLOOKUP(C421,CHECKS!A:I,7,FALSE)</f>
        <v>4</v>
      </c>
      <c r="Q421" s="4">
        <f>VLOOKUP(C421,CHECKS!A:I,8,FALSE)</f>
        <v>7</v>
      </c>
      <c r="R421">
        <v>419</v>
      </c>
    </row>
    <row r="422" spans="1:18" x14ac:dyDescent="0.2">
      <c r="A422" s="4">
        <v>4210</v>
      </c>
      <c r="B422" s="2" t="s">
        <v>1653</v>
      </c>
      <c r="C422" s="4" t="s">
        <v>1650</v>
      </c>
      <c r="D422" s="2" t="s">
        <v>1629</v>
      </c>
      <c r="E422" s="2" t="s">
        <v>1654</v>
      </c>
      <c r="F422" s="2" t="s">
        <v>1629</v>
      </c>
      <c r="G422" s="4">
        <f t="shared" si="6"/>
        <v>1</v>
      </c>
      <c r="J422" s="2" t="s">
        <v>1876</v>
      </c>
      <c r="L422" s="16">
        <v>48.917514907600001</v>
      </c>
      <c r="M422" s="7">
        <v>2.2248121888800001</v>
      </c>
      <c r="N422" s="4" t="str">
        <f>VLOOKUP(C422,CHECKS!A:I,9,FALSE)</f>
        <v>#CF009E</v>
      </c>
      <c r="O422" s="4">
        <f>VLOOKUP(C422,CHECKS!A:I,6,FALSE)</f>
        <v>1.96</v>
      </c>
      <c r="P422" s="4">
        <f>VLOOKUP(C422,CHECKS!A:I,7,FALSE)</f>
        <v>4</v>
      </c>
      <c r="Q422" s="4">
        <f>VLOOKUP(C422,CHECKS!A:I,8,FALSE)</f>
        <v>7</v>
      </c>
      <c r="R422">
        <v>420</v>
      </c>
    </row>
    <row r="423" spans="1:18" x14ac:dyDescent="0.2">
      <c r="A423" s="4">
        <v>4220</v>
      </c>
      <c r="B423" s="2" t="s">
        <v>1655</v>
      </c>
      <c r="C423" s="4" t="s">
        <v>1650</v>
      </c>
      <c r="D423" s="2" t="s">
        <v>1630</v>
      </c>
      <c r="E423" s="2" t="s">
        <v>1656</v>
      </c>
      <c r="F423" s="2" t="s">
        <v>1630</v>
      </c>
      <c r="G423" s="4">
        <f t="shared" si="6"/>
        <v>1</v>
      </c>
      <c r="J423" s="2" t="s">
        <v>1877</v>
      </c>
      <c r="L423" s="16">
        <v>48.914047680700001</v>
      </c>
      <c r="M423" s="7">
        <v>2.2295716132900001</v>
      </c>
      <c r="N423" s="4" t="str">
        <f>VLOOKUP(C423,CHECKS!A:I,9,FALSE)</f>
        <v>#CF009E</v>
      </c>
      <c r="O423" s="4">
        <f>VLOOKUP(C423,CHECKS!A:I,6,FALSE)</f>
        <v>1.96</v>
      </c>
      <c r="P423" s="4">
        <f>VLOOKUP(C423,CHECKS!A:I,7,FALSE)</f>
        <v>4</v>
      </c>
      <c r="Q423" s="4">
        <f>VLOOKUP(C423,CHECKS!A:I,8,FALSE)</f>
        <v>7</v>
      </c>
      <c r="R423">
        <v>421</v>
      </c>
    </row>
    <row r="424" spans="1:18" x14ac:dyDescent="0.2">
      <c r="A424" s="4">
        <v>4230</v>
      </c>
      <c r="B424" s="2" t="s">
        <v>1657</v>
      </c>
      <c r="C424" s="4" t="s">
        <v>1650</v>
      </c>
      <c r="D424" s="2" t="s">
        <v>1631</v>
      </c>
      <c r="E424" s="2" t="s">
        <v>1658</v>
      </c>
      <c r="F424" s="2" t="s">
        <v>1631</v>
      </c>
      <c r="G424" s="4">
        <f t="shared" si="6"/>
        <v>1</v>
      </c>
      <c r="J424" s="2" t="s">
        <v>1878</v>
      </c>
      <c r="L424" s="16">
        <v>48.910802589699998</v>
      </c>
      <c r="M424" s="7">
        <v>2.2339886014300001</v>
      </c>
      <c r="N424" s="4" t="str">
        <f>VLOOKUP(C424,CHECKS!A:I,9,FALSE)</f>
        <v>#CF009E</v>
      </c>
      <c r="O424" s="4">
        <f>VLOOKUP(C424,CHECKS!A:I,6,FALSE)</f>
        <v>1.96</v>
      </c>
      <c r="P424" s="4">
        <f>VLOOKUP(C424,CHECKS!A:I,7,FALSE)</f>
        <v>4</v>
      </c>
      <c r="Q424" s="4">
        <f>VLOOKUP(C424,CHECKS!A:I,8,FALSE)</f>
        <v>7</v>
      </c>
      <c r="R424">
        <v>422</v>
      </c>
    </row>
    <row r="425" spans="1:18" x14ac:dyDescent="0.2">
      <c r="A425" s="4">
        <v>4240</v>
      </c>
      <c r="B425" s="2" t="s">
        <v>1659</v>
      </c>
      <c r="C425" s="4" t="s">
        <v>1650</v>
      </c>
      <c r="D425" s="2" t="s">
        <v>1632</v>
      </c>
      <c r="E425" s="2" t="s">
        <v>1660</v>
      </c>
      <c r="F425" s="2" t="s">
        <v>1632</v>
      </c>
      <c r="G425" s="4">
        <f t="shared" si="6"/>
        <v>1</v>
      </c>
      <c r="J425" s="2" t="s">
        <v>1879</v>
      </c>
      <c r="L425" s="16">
        <v>48.907664583900001</v>
      </c>
      <c r="M425" s="7">
        <v>2.2383093022899998</v>
      </c>
      <c r="N425" s="4" t="str">
        <f>VLOOKUP(C425,CHECKS!A:I,9,FALSE)</f>
        <v>#CF009E</v>
      </c>
      <c r="O425" s="4">
        <f>VLOOKUP(C425,CHECKS!A:I,6,FALSE)</f>
        <v>1.96</v>
      </c>
      <c r="P425" s="4">
        <f>VLOOKUP(C425,CHECKS!A:I,7,FALSE)</f>
        <v>4</v>
      </c>
      <c r="Q425" s="4">
        <f>VLOOKUP(C425,CHECKS!A:I,8,FALSE)</f>
        <v>7</v>
      </c>
      <c r="R425">
        <v>423</v>
      </c>
    </row>
    <row r="426" spans="1:18" x14ac:dyDescent="0.2">
      <c r="A426" s="4">
        <v>4250</v>
      </c>
      <c r="B426" s="2" t="s">
        <v>1661</v>
      </c>
      <c r="C426" s="4" t="s">
        <v>1650</v>
      </c>
      <c r="D426" s="2" t="s">
        <v>1633</v>
      </c>
      <c r="E426" s="2" t="s">
        <v>1662</v>
      </c>
      <c r="F426" s="2" t="s">
        <v>1633</v>
      </c>
      <c r="G426" s="4">
        <f t="shared" si="6"/>
        <v>1</v>
      </c>
      <c r="J426" s="2" t="s">
        <v>1880</v>
      </c>
      <c r="L426" s="16">
        <v>48.902768025599997</v>
      </c>
      <c r="M426" s="7">
        <v>2.23954203632</v>
      </c>
      <c r="N426" s="4" t="str">
        <f>VLOOKUP(C426,CHECKS!A:I,9,FALSE)</f>
        <v>#CF009E</v>
      </c>
      <c r="O426" s="4">
        <f>VLOOKUP(C426,CHECKS!A:I,6,FALSE)</f>
        <v>1.96</v>
      </c>
      <c r="P426" s="4">
        <f>VLOOKUP(C426,CHECKS!A:I,7,FALSE)</f>
        <v>4</v>
      </c>
      <c r="Q426" s="4">
        <f>VLOOKUP(C426,CHECKS!A:I,8,FALSE)</f>
        <v>7</v>
      </c>
      <c r="R426">
        <v>424</v>
      </c>
    </row>
    <row r="427" spans="1:18" x14ac:dyDescent="0.2">
      <c r="A427" s="4">
        <v>4260</v>
      </c>
      <c r="B427" s="2" t="s">
        <v>1663</v>
      </c>
      <c r="C427" s="4" t="s">
        <v>1650</v>
      </c>
      <c r="D427" s="2" t="s">
        <v>1634</v>
      </c>
      <c r="E427" s="2" t="s">
        <v>1664</v>
      </c>
      <c r="F427" s="2" t="s">
        <v>1634</v>
      </c>
      <c r="G427" s="4">
        <f t="shared" si="6"/>
        <v>1</v>
      </c>
      <c r="J427" s="2" t="s">
        <v>1881</v>
      </c>
      <c r="L427" s="16">
        <v>48.896664396299997</v>
      </c>
      <c r="M427" s="7">
        <v>2.2400792520500001</v>
      </c>
      <c r="N427" s="4" t="str">
        <f>VLOOKUP(C427,CHECKS!A:I,9,FALSE)</f>
        <v>#CF009E</v>
      </c>
      <c r="O427" s="4">
        <f>VLOOKUP(C427,CHECKS!A:I,6,FALSE)</f>
        <v>1.96</v>
      </c>
      <c r="P427" s="4">
        <f>VLOOKUP(C427,CHECKS!A:I,7,FALSE)</f>
        <v>4</v>
      </c>
      <c r="Q427" s="4">
        <f>VLOOKUP(C427,CHECKS!A:I,8,FALSE)</f>
        <v>7</v>
      </c>
      <c r="R427">
        <v>425</v>
      </c>
    </row>
    <row r="428" spans="1:18" x14ac:dyDescent="0.2">
      <c r="A428" s="4">
        <v>4270</v>
      </c>
      <c r="B428" s="2" t="s">
        <v>1665</v>
      </c>
      <c r="C428" s="4" t="s">
        <v>1650</v>
      </c>
      <c r="D428" s="2" t="s">
        <v>8</v>
      </c>
      <c r="E428" s="2" t="s">
        <v>1666</v>
      </c>
      <c r="F428" s="2" t="s">
        <v>8</v>
      </c>
      <c r="G428" s="4">
        <f t="shared" si="6"/>
        <v>3</v>
      </c>
      <c r="I428" s="2" t="s">
        <v>2481</v>
      </c>
      <c r="J428" s="2" t="s">
        <v>1882</v>
      </c>
      <c r="L428" s="16">
        <v>48.892123363800003</v>
      </c>
      <c r="M428" s="7">
        <v>2.2372135364600001</v>
      </c>
      <c r="N428" s="4" t="str">
        <f>VLOOKUP(C428,CHECKS!A:I,9,FALSE)</f>
        <v>#CF009E</v>
      </c>
      <c r="O428" s="4">
        <f>VLOOKUP(C428,CHECKS!A:I,6,FALSE)</f>
        <v>1.96</v>
      </c>
      <c r="P428" s="4">
        <f>VLOOKUP(C428,CHECKS!A:I,7,FALSE)</f>
        <v>4</v>
      </c>
      <c r="Q428" s="4">
        <f>VLOOKUP(C428,CHECKS!A:I,8,FALSE)</f>
        <v>7</v>
      </c>
      <c r="R428">
        <v>426</v>
      </c>
    </row>
    <row r="429" spans="1:18" x14ac:dyDescent="0.2">
      <c r="A429" s="4">
        <v>4280</v>
      </c>
      <c r="B429" s="2" t="s">
        <v>1667</v>
      </c>
      <c r="C429" s="4" t="s">
        <v>1650</v>
      </c>
      <c r="D429" s="2" t="s">
        <v>1635</v>
      </c>
      <c r="E429" s="2" t="s">
        <v>1668</v>
      </c>
      <c r="F429" s="2" t="s">
        <v>1635</v>
      </c>
      <c r="G429" s="4">
        <f t="shared" si="6"/>
        <v>1</v>
      </c>
      <c r="J429" s="2" t="s">
        <v>1883</v>
      </c>
      <c r="L429" s="16">
        <v>48.883334876600003</v>
      </c>
      <c r="M429" s="7">
        <v>2.2338714337900001</v>
      </c>
      <c r="N429" s="4" t="str">
        <f>VLOOKUP(C429,CHECKS!A:I,9,FALSE)</f>
        <v>#CF009E</v>
      </c>
      <c r="O429" s="4">
        <f>VLOOKUP(C429,CHECKS!A:I,6,FALSE)</f>
        <v>1.96</v>
      </c>
      <c r="P429" s="4">
        <f>VLOOKUP(C429,CHECKS!A:I,7,FALSE)</f>
        <v>4</v>
      </c>
      <c r="Q429" s="4">
        <f>VLOOKUP(C429,CHECKS!A:I,8,FALSE)</f>
        <v>7</v>
      </c>
      <c r="R429">
        <v>427</v>
      </c>
    </row>
    <row r="430" spans="1:18" x14ac:dyDescent="0.2">
      <c r="A430" s="4">
        <v>4290</v>
      </c>
      <c r="B430" s="2" t="s">
        <v>1669</v>
      </c>
      <c r="C430" s="4" t="s">
        <v>1650</v>
      </c>
      <c r="D430" s="2" t="s">
        <v>1636</v>
      </c>
      <c r="E430" s="2" t="s">
        <v>1670</v>
      </c>
      <c r="F430" s="2" t="s">
        <v>1636</v>
      </c>
      <c r="G430" s="4">
        <f t="shared" si="6"/>
        <v>1</v>
      </c>
      <c r="J430" s="2" t="s">
        <v>1884</v>
      </c>
      <c r="L430" s="16">
        <v>48.876001291500003</v>
      </c>
      <c r="M430" s="7">
        <v>2.2259590951399999</v>
      </c>
      <c r="N430" s="4" t="str">
        <f>VLOOKUP(C430,CHECKS!A:I,9,FALSE)</f>
        <v>#CF009E</v>
      </c>
      <c r="O430" s="4">
        <f>VLOOKUP(C430,CHECKS!A:I,6,FALSE)</f>
        <v>1.96</v>
      </c>
      <c r="P430" s="4">
        <f>VLOOKUP(C430,CHECKS!A:I,7,FALSE)</f>
        <v>4</v>
      </c>
      <c r="Q430" s="4">
        <f>VLOOKUP(C430,CHECKS!A:I,8,FALSE)</f>
        <v>7</v>
      </c>
      <c r="R430">
        <v>428</v>
      </c>
    </row>
    <row r="431" spans="1:18" x14ac:dyDescent="0.2">
      <c r="A431" s="4">
        <v>4300</v>
      </c>
      <c r="B431" s="2" t="s">
        <v>1671</v>
      </c>
      <c r="C431" s="4" t="s">
        <v>1650</v>
      </c>
      <c r="D431" s="2" t="s">
        <v>1639</v>
      </c>
      <c r="E431" s="2" t="s">
        <v>1672</v>
      </c>
      <c r="F431" s="2" t="s">
        <v>1639</v>
      </c>
      <c r="G431" s="4">
        <f t="shared" si="6"/>
        <v>1</v>
      </c>
      <c r="J431" s="2" t="s">
        <v>1885</v>
      </c>
      <c r="L431" s="16">
        <v>48.868238784900001</v>
      </c>
      <c r="M431" s="7">
        <v>2.2214106039799999</v>
      </c>
      <c r="N431" s="4" t="str">
        <f>VLOOKUP(C431,CHECKS!A:I,9,FALSE)</f>
        <v>#CF009E</v>
      </c>
      <c r="O431" s="4">
        <f>VLOOKUP(C431,CHECKS!A:I,6,FALSE)</f>
        <v>1.96</v>
      </c>
      <c r="P431" s="4">
        <f>VLOOKUP(C431,CHECKS!A:I,7,FALSE)</f>
        <v>4</v>
      </c>
      <c r="Q431" s="4">
        <f>VLOOKUP(C431,CHECKS!A:I,8,FALSE)</f>
        <v>7</v>
      </c>
      <c r="R431">
        <v>429</v>
      </c>
    </row>
    <row r="432" spans="1:18" x14ac:dyDescent="0.2">
      <c r="A432" s="4">
        <v>4310</v>
      </c>
      <c r="B432" s="2" t="s">
        <v>1673</v>
      </c>
      <c r="C432" s="4" t="s">
        <v>1650</v>
      </c>
      <c r="D432" s="2" t="s">
        <v>1637</v>
      </c>
      <c r="E432" s="2" t="s">
        <v>1674</v>
      </c>
      <c r="F432" s="2" t="s">
        <v>1637</v>
      </c>
      <c r="G432" s="4">
        <f t="shared" si="6"/>
        <v>1</v>
      </c>
      <c r="J432" s="2" t="s">
        <v>1886</v>
      </c>
      <c r="L432" s="16">
        <v>48.857471408899997</v>
      </c>
      <c r="M432" s="7">
        <v>2.2206035600299998</v>
      </c>
      <c r="N432" s="4" t="str">
        <f>VLOOKUP(C432,CHECKS!A:I,9,FALSE)</f>
        <v>#CF009E</v>
      </c>
      <c r="O432" s="4">
        <f>VLOOKUP(C432,CHECKS!A:I,6,FALSE)</f>
        <v>1.96</v>
      </c>
      <c r="P432" s="4">
        <f>VLOOKUP(C432,CHECKS!A:I,7,FALSE)</f>
        <v>4</v>
      </c>
      <c r="Q432" s="4">
        <f>VLOOKUP(C432,CHECKS!A:I,8,FALSE)</f>
        <v>7</v>
      </c>
      <c r="R432">
        <v>430</v>
      </c>
    </row>
    <row r="433" spans="1:18" x14ac:dyDescent="0.2">
      <c r="A433" s="4">
        <v>4320</v>
      </c>
      <c r="B433" s="2" t="s">
        <v>1675</v>
      </c>
      <c r="C433" s="4" t="s">
        <v>1650</v>
      </c>
      <c r="D433" s="2" t="s">
        <v>1638</v>
      </c>
      <c r="E433" s="2" t="s">
        <v>1676</v>
      </c>
      <c r="F433" s="2" t="s">
        <v>1638</v>
      </c>
      <c r="G433" s="4">
        <f t="shared" si="6"/>
        <v>1</v>
      </c>
      <c r="J433" s="2" t="s">
        <v>1887</v>
      </c>
      <c r="L433" s="16">
        <v>48.849850487799998</v>
      </c>
      <c r="M433" s="7">
        <v>2.2212326832699998</v>
      </c>
      <c r="N433" s="4" t="str">
        <f>VLOOKUP(C433,CHECKS!A:I,9,FALSE)</f>
        <v>#CF009E</v>
      </c>
      <c r="O433" s="4">
        <f>VLOOKUP(C433,CHECKS!A:I,6,FALSE)</f>
        <v>1.96</v>
      </c>
      <c r="P433" s="4">
        <f>VLOOKUP(C433,CHECKS!A:I,7,FALSE)</f>
        <v>4</v>
      </c>
      <c r="Q433" s="4">
        <f>VLOOKUP(C433,CHECKS!A:I,8,FALSE)</f>
        <v>7</v>
      </c>
      <c r="R433">
        <v>431</v>
      </c>
    </row>
    <row r="434" spans="1:18" x14ac:dyDescent="0.2">
      <c r="A434" s="4">
        <v>4330</v>
      </c>
      <c r="B434" s="2" t="s">
        <v>1677</v>
      </c>
      <c r="C434" s="4" t="s">
        <v>1650</v>
      </c>
      <c r="D434" s="2" t="s">
        <v>1640</v>
      </c>
      <c r="E434" s="2" t="s">
        <v>1678</v>
      </c>
      <c r="F434" s="2" t="s">
        <v>1640</v>
      </c>
      <c r="G434" s="4">
        <f t="shared" si="6"/>
        <v>1</v>
      </c>
      <c r="I434" s="2" t="s">
        <v>759</v>
      </c>
      <c r="J434" s="2" t="s">
        <v>1888</v>
      </c>
      <c r="L434" s="16">
        <v>48.843124399899999</v>
      </c>
      <c r="M434" s="7">
        <v>2.2218514947500001</v>
      </c>
      <c r="N434" s="4" t="str">
        <f>VLOOKUP(C434,CHECKS!A:I,9,FALSE)</f>
        <v>#CF009E</v>
      </c>
      <c r="O434" s="4">
        <f>VLOOKUP(C434,CHECKS!A:I,6,FALSE)</f>
        <v>1.96</v>
      </c>
      <c r="P434" s="4">
        <f>VLOOKUP(C434,CHECKS!A:I,7,FALSE)</f>
        <v>4</v>
      </c>
      <c r="Q434" s="4">
        <f>VLOOKUP(C434,CHECKS!A:I,8,FALSE)</f>
        <v>7</v>
      </c>
      <c r="R434">
        <v>432</v>
      </c>
    </row>
    <row r="435" spans="1:18" x14ac:dyDescent="0.2">
      <c r="A435" s="4">
        <v>4340</v>
      </c>
      <c r="B435" s="2" t="s">
        <v>1679</v>
      </c>
      <c r="C435" s="4" t="s">
        <v>1650</v>
      </c>
      <c r="D435" s="2" t="s">
        <v>1641</v>
      </c>
      <c r="E435" s="2" t="s">
        <v>1680</v>
      </c>
      <c r="F435" s="2" t="s">
        <v>1641</v>
      </c>
      <c r="G435" s="4">
        <f t="shared" si="6"/>
        <v>1</v>
      </c>
      <c r="I435" s="2" t="s">
        <v>722</v>
      </c>
      <c r="J435" s="2" t="s">
        <v>1889</v>
      </c>
      <c r="L435" s="16">
        <v>48.829010502800003</v>
      </c>
      <c r="M435" s="7">
        <v>2.2253128532800002</v>
      </c>
      <c r="N435" s="4" t="str">
        <f>VLOOKUP(C435,CHECKS!A:I,9,FALSE)</f>
        <v>#CF009E</v>
      </c>
      <c r="O435" s="4">
        <f>VLOOKUP(C435,CHECKS!A:I,6,FALSE)</f>
        <v>1.96</v>
      </c>
      <c r="P435" s="4">
        <f>VLOOKUP(C435,CHECKS!A:I,7,FALSE)</f>
        <v>4</v>
      </c>
      <c r="Q435" s="4">
        <f>VLOOKUP(C435,CHECKS!A:I,8,FALSE)</f>
        <v>7</v>
      </c>
      <c r="R435">
        <v>433</v>
      </c>
    </row>
    <row r="436" spans="1:18" x14ac:dyDescent="0.2">
      <c r="A436" s="4">
        <v>4350</v>
      </c>
      <c r="B436" s="2" t="s">
        <v>1681</v>
      </c>
      <c r="C436" s="4" t="s">
        <v>1650</v>
      </c>
      <c r="D436" s="2" t="s">
        <v>1642</v>
      </c>
      <c r="E436" s="2" t="s">
        <v>1682</v>
      </c>
      <c r="F436" s="2" t="s">
        <v>1642</v>
      </c>
      <c r="G436" s="4">
        <f t="shared" si="6"/>
        <v>1</v>
      </c>
      <c r="J436" s="2" t="s">
        <v>1890</v>
      </c>
      <c r="L436" s="16">
        <v>48.822309932899998</v>
      </c>
      <c r="M436" s="7">
        <v>2.2313231598700001</v>
      </c>
      <c r="N436" s="4" t="str">
        <f>VLOOKUP(C436,CHECKS!A:I,9,FALSE)</f>
        <v>#CF009E</v>
      </c>
      <c r="O436" s="4">
        <f>VLOOKUP(C436,CHECKS!A:I,6,FALSE)</f>
        <v>1.96</v>
      </c>
      <c r="P436" s="4">
        <f>VLOOKUP(C436,CHECKS!A:I,7,FALSE)</f>
        <v>4</v>
      </c>
      <c r="Q436" s="4">
        <f>VLOOKUP(C436,CHECKS!A:I,8,FALSE)</f>
        <v>7</v>
      </c>
      <c r="R436">
        <v>434</v>
      </c>
    </row>
    <row r="437" spans="1:18" x14ac:dyDescent="0.2">
      <c r="A437" s="4">
        <v>4360</v>
      </c>
      <c r="B437" s="2" t="s">
        <v>1683</v>
      </c>
      <c r="C437" s="4" t="s">
        <v>1650</v>
      </c>
      <c r="D437" s="2" t="s">
        <v>1643</v>
      </c>
      <c r="E437" s="2" t="s">
        <v>1684</v>
      </c>
      <c r="F437" s="2" t="s">
        <v>1643</v>
      </c>
      <c r="G437" s="4">
        <f t="shared" si="6"/>
        <v>1</v>
      </c>
      <c r="J437" s="2" t="s">
        <v>1891</v>
      </c>
      <c r="L437" s="16">
        <v>48.819174329100001</v>
      </c>
      <c r="M437" s="7">
        <v>2.2385983377900001</v>
      </c>
      <c r="N437" s="4" t="str">
        <f>VLOOKUP(C437,CHECKS!A:I,9,FALSE)</f>
        <v>#CF009E</v>
      </c>
      <c r="O437" s="4">
        <f>VLOOKUP(C437,CHECKS!A:I,6,FALSE)</f>
        <v>1.96</v>
      </c>
      <c r="P437" s="4">
        <f>VLOOKUP(C437,CHECKS!A:I,7,FALSE)</f>
        <v>4</v>
      </c>
      <c r="Q437" s="4">
        <f>VLOOKUP(C437,CHECKS!A:I,8,FALSE)</f>
        <v>7</v>
      </c>
      <c r="R437">
        <v>435</v>
      </c>
    </row>
    <row r="438" spans="1:18" x14ac:dyDescent="0.2">
      <c r="A438" s="4">
        <v>4370</v>
      </c>
      <c r="B438" s="2" t="s">
        <v>1685</v>
      </c>
      <c r="C438" s="4" t="s">
        <v>1650</v>
      </c>
      <c r="D438" s="2" t="s">
        <v>1644</v>
      </c>
      <c r="E438" s="2" t="s">
        <v>1686</v>
      </c>
      <c r="F438" s="2" t="s">
        <v>1644</v>
      </c>
      <c r="G438" s="4">
        <f t="shared" si="6"/>
        <v>1</v>
      </c>
      <c r="J438" s="2" t="s">
        <v>1892</v>
      </c>
      <c r="L438" s="16">
        <v>48.821517522500002</v>
      </c>
      <c r="M438" s="7">
        <v>2.2513361562099998</v>
      </c>
      <c r="N438" s="4" t="str">
        <f>VLOOKUP(C438,CHECKS!A:I,9,FALSE)</f>
        <v>#CF009E</v>
      </c>
      <c r="O438" s="4">
        <f>VLOOKUP(C438,CHECKS!A:I,6,FALSE)</f>
        <v>1.96</v>
      </c>
      <c r="P438" s="4">
        <f>VLOOKUP(C438,CHECKS!A:I,7,FALSE)</f>
        <v>4</v>
      </c>
      <c r="Q438" s="4">
        <f>VLOOKUP(C438,CHECKS!A:I,8,FALSE)</f>
        <v>7</v>
      </c>
      <c r="R438">
        <v>436</v>
      </c>
    </row>
    <row r="439" spans="1:18" x14ac:dyDescent="0.2">
      <c r="A439" s="4">
        <v>4380</v>
      </c>
      <c r="B439" s="2" t="s">
        <v>1687</v>
      </c>
      <c r="C439" s="4" t="s">
        <v>1650</v>
      </c>
      <c r="D439" s="2" t="s">
        <v>1645</v>
      </c>
      <c r="E439" s="2" t="s">
        <v>1688</v>
      </c>
      <c r="F439" s="2" t="s">
        <v>1645</v>
      </c>
      <c r="G439" s="4">
        <f t="shared" si="6"/>
        <v>1</v>
      </c>
      <c r="J439" s="2" t="s">
        <v>1893</v>
      </c>
      <c r="L439" s="16">
        <v>48.824767025500002</v>
      </c>
      <c r="M439" s="7">
        <v>2.2605399136700002</v>
      </c>
      <c r="N439" s="4" t="str">
        <f>VLOOKUP(C439,CHECKS!A:I,9,FALSE)</f>
        <v>#CF009E</v>
      </c>
      <c r="O439" s="4">
        <f>VLOOKUP(C439,CHECKS!A:I,6,FALSE)</f>
        <v>1.96</v>
      </c>
      <c r="P439" s="4">
        <f>VLOOKUP(C439,CHECKS!A:I,7,FALSE)</f>
        <v>4</v>
      </c>
      <c r="Q439" s="4">
        <f>VLOOKUP(C439,CHECKS!A:I,8,FALSE)</f>
        <v>7</v>
      </c>
      <c r="R439">
        <v>437</v>
      </c>
    </row>
    <row r="440" spans="1:18" x14ac:dyDescent="0.2">
      <c r="A440" s="4">
        <v>4390</v>
      </c>
      <c r="B440" s="2" t="s">
        <v>1689</v>
      </c>
      <c r="C440" s="4" t="s">
        <v>1650</v>
      </c>
      <c r="D440" s="2" t="s">
        <v>1646</v>
      </c>
      <c r="E440" s="2" t="s">
        <v>1690</v>
      </c>
      <c r="F440" s="2" t="s">
        <v>1646</v>
      </c>
      <c r="G440" s="4">
        <f t="shared" si="6"/>
        <v>1</v>
      </c>
      <c r="J440" s="2" t="s">
        <v>1894</v>
      </c>
      <c r="L440" s="16">
        <v>48.829890157800001</v>
      </c>
      <c r="M440" s="7">
        <v>2.2631785657000001</v>
      </c>
      <c r="N440" s="4" t="str">
        <f>VLOOKUP(C440,CHECKS!A:I,9,FALSE)</f>
        <v>#CF009E</v>
      </c>
      <c r="O440" s="4">
        <f>VLOOKUP(C440,CHECKS!A:I,6,FALSE)</f>
        <v>1.96</v>
      </c>
      <c r="P440" s="4">
        <f>VLOOKUP(C440,CHECKS!A:I,7,FALSE)</f>
        <v>4</v>
      </c>
      <c r="Q440" s="4">
        <f>VLOOKUP(C440,CHECKS!A:I,8,FALSE)</f>
        <v>7</v>
      </c>
      <c r="R440">
        <v>438</v>
      </c>
    </row>
    <row r="441" spans="1:18" x14ac:dyDescent="0.2">
      <c r="A441" s="4">
        <v>4400</v>
      </c>
      <c r="B441" s="2" t="s">
        <v>1691</v>
      </c>
      <c r="C441" s="4" t="s">
        <v>1650</v>
      </c>
      <c r="D441" s="2" t="s">
        <v>1647</v>
      </c>
      <c r="E441" s="2" t="s">
        <v>1692</v>
      </c>
      <c r="F441" s="2" t="s">
        <v>1647</v>
      </c>
      <c r="G441" s="4">
        <f t="shared" si="6"/>
        <v>1</v>
      </c>
      <c r="J441" s="2" t="s">
        <v>1895</v>
      </c>
      <c r="L441" s="16">
        <v>48.834750010400001</v>
      </c>
      <c r="M441" s="7">
        <v>2.27124150094</v>
      </c>
      <c r="N441" s="4" t="str">
        <f>VLOOKUP(C441,CHECKS!A:I,9,FALSE)</f>
        <v>#CF009E</v>
      </c>
      <c r="O441" s="4">
        <f>VLOOKUP(C441,CHECKS!A:I,6,FALSE)</f>
        <v>1.96</v>
      </c>
      <c r="P441" s="4">
        <f>VLOOKUP(C441,CHECKS!A:I,7,FALSE)</f>
        <v>4</v>
      </c>
      <c r="Q441" s="4">
        <f>VLOOKUP(C441,CHECKS!A:I,8,FALSE)</f>
        <v>7</v>
      </c>
      <c r="R441">
        <v>439</v>
      </c>
    </row>
    <row r="442" spans="1:18" x14ac:dyDescent="0.2">
      <c r="A442" s="4">
        <v>4410</v>
      </c>
      <c r="B442" s="2" t="s">
        <v>1693</v>
      </c>
      <c r="C442" s="4" t="s">
        <v>1650</v>
      </c>
      <c r="D442" s="2" t="s">
        <v>1648</v>
      </c>
      <c r="E442" s="2" t="s">
        <v>1694</v>
      </c>
      <c r="F442" s="2" t="s">
        <v>1648</v>
      </c>
      <c r="G442" s="4">
        <f t="shared" si="6"/>
        <v>1</v>
      </c>
      <c r="H442" s="2" t="s">
        <v>1714</v>
      </c>
      <c r="I442" s="2" t="s">
        <v>684</v>
      </c>
      <c r="J442" s="2" t="s">
        <v>1896</v>
      </c>
      <c r="K442" s="2" t="s">
        <v>790</v>
      </c>
      <c r="L442" s="16">
        <v>48.833365343799997</v>
      </c>
      <c r="M442" s="7">
        <v>2.2767120905299998</v>
      </c>
      <c r="N442" s="4" t="str">
        <f>VLOOKUP(C442,CHECKS!A:I,9,FALSE)</f>
        <v>#CF009E</v>
      </c>
      <c r="O442" s="4">
        <f>VLOOKUP(C442,CHECKS!A:I,6,FALSE)</f>
        <v>1.96</v>
      </c>
      <c r="P442" s="4">
        <f>VLOOKUP(C442,CHECKS!A:I,7,FALSE)</f>
        <v>4</v>
      </c>
      <c r="Q442" s="4">
        <f>VLOOKUP(C442,CHECKS!A:I,8,FALSE)</f>
        <v>7</v>
      </c>
      <c r="R442">
        <v>440</v>
      </c>
    </row>
    <row r="443" spans="1:18" x14ac:dyDescent="0.2">
      <c r="A443" s="4">
        <v>4420</v>
      </c>
      <c r="B443" s="2" t="s">
        <v>1695</v>
      </c>
      <c r="C443" s="4" t="s">
        <v>1650</v>
      </c>
      <c r="D443" s="2" t="s">
        <v>1649</v>
      </c>
      <c r="E443" s="2" t="s">
        <v>1696</v>
      </c>
      <c r="F443" s="2" t="s">
        <v>1649</v>
      </c>
      <c r="G443" s="4">
        <f t="shared" si="6"/>
        <v>1</v>
      </c>
      <c r="J443" s="2" t="s">
        <v>1897</v>
      </c>
      <c r="L443" s="16">
        <v>48.831696593099998</v>
      </c>
      <c r="M443" s="7">
        <v>2.28147044408</v>
      </c>
      <c r="N443" s="4" t="str">
        <f>VLOOKUP(C443,CHECKS!A:I,9,FALSE)</f>
        <v>#CF009E</v>
      </c>
      <c r="O443" s="4">
        <f>VLOOKUP(C443,CHECKS!A:I,6,FALSE)</f>
        <v>1.96</v>
      </c>
      <c r="P443" s="4">
        <f>VLOOKUP(C443,CHECKS!A:I,7,FALSE)</f>
        <v>4</v>
      </c>
      <c r="Q443" s="4">
        <f>VLOOKUP(C443,CHECKS!A:I,8,FALSE)</f>
        <v>7</v>
      </c>
      <c r="R443">
        <v>441</v>
      </c>
    </row>
    <row r="444" spans="1:18" x14ac:dyDescent="0.2">
      <c r="A444" s="4">
        <v>4430</v>
      </c>
      <c r="B444" s="2" t="s">
        <v>1697</v>
      </c>
      <c r="C444" s="4" t="s">
        <v>1650</v>
      </c>
      <c r="D444" s="2" t="s">
        <v>1185</v>
      </c>
      <c r="E444" s="2" t="s">
        <v>1695</v>
      </c>
      <c r="F444" s="2" t="s">
        <v>1185</v>
      </c>
      <c r="G444" s="4">
        <f t="shared" si="6"/>
        <v>3</v>
      </c>
      <c r="H444" s="2" t="s">
        <v>1718</v>
      </c>
      <c r="I444" s="2" t="s">
        <v>1008</v>
      </c>
      <c r="J444" s="2" t="s">
        <v>1649</v>
      </c>
      <c r="K444" s="2" t="s">
        <v>1185</v>
      </c>
      <c r="L444" s="16">
        <v>48.8318724684</v>
      </c>
      <c r="M444" s="7">
        <v>2.28720713917</v>
      </c>
      <c r="N444" s="4" t="str">
        <f>VLOOKUP(C444,CHECKS!A:I,9,FALSE)</f>
        <v>#CF009E</v>
      </c>
      <c r="O444" s="4">
        <f>VLOOKUP(C444,CHECKS!A:I,6,FALSE)</f>
        <v>1.96</v>
      </c>
      <c r="P444" s="4">
        <f>VLOOKUP(C444,CHECKS!A:I,7,FALSE)</f>
        <v>4</v>
      </c>
      <c r="Q444" s="4">
        <f>VLOOKUP(C444,CHECKS!A:I,8,FALSE)</f>
        <v>7</v>
      </c>
      <c r="R444">
        <v>442</v>
      </c>
    </row>
    <row r="445" spans="1:18" x14ac:dyDescent="0.2">
      <c r="A445" s="4">
        <v>4440</v>
      </c>
      <c r="B445" s="2" t="s">
        <v>1713</v>
      </c>
      <c r="C445" s="4" t="s">
        <v>1712</v>
      </c>
      <c r="D445" s="2" t="s">
        <v>1651</v>
      </c>
      <c r="E445" s="2" t="s">
        <v>1714</v>
      </c>
      <c r="F445" s="2" t="s">
        <v>1651</v>
      </c>
      <c r="G445" s="4">
        <f t="shared" si="6"/>
        <v>1</v>
      </c>
      <c r="J445" s="2" t="s">
        <v>790</v>
      </c>
      <c r="L445" s="16">
        <v>48.838075890600003</v>
      </c>
      <c r="M445" s="7">
        <v>2.2711744020700002</v>
      </c>
      <c r="N445" s="4" t="str">
        <f>VLOOKUP(C445,CHECKS!A:I,9,FALSE)</f>
        <v>#FF7E2E</v>
      </c>
      <c r="O445" s="4">
        <f>VLOOKUP(C445,CHECKS!A:I,6,FALSE)</f>
        <v>1.75</v>
      </c>
      <c r="P445" s="4">
        <f>VLOOKUP(C445,CHECKS!A:I,7,FALSE)</f>
        <v>4</v>
      </c>
      <c r="Q445" s="4">
        <f>VLOOKUP(C445,CHECKS!A:I,8,FALSE)</f>
        <v>7</v>
      </c>
      <c r="R445">
        <v>443</v>
      </c>
    </row>
    <row r="446" spans="1:18" x14ac:dyDescent="0.2">
      <c r="A446" s="4">
        <v>4450</v>
      </c>
      <c r="B446" s="2" t="s">
        <v>1714</v>
      </c>
      <c r="C446" s="4" t="s">
        <v>1712</v>
      </c>
      <c r="D446" s="2" t="s">
        <v>790</v>
      </c>
      <c r="E446" s="2" t="s">
        <v>1715</v>
      </c>
      <c r="F446" s="2" t="s">
        <v>790</v>
      </c>
      <c r="G446" s="4">
        <f t="shared" si="6"/>
        <v>2</v>
      </c>
      <c r="H446" s="2" t="s">
        <v>1693</v>
      </c>
      <c r="I446" s="2" t="s">
        <v>684</v>
      </c>
      <c r="J446" s="2" t="s">
        <v>1898</v>
      </c>
      <c r="K446" s="2" t="s">
        <v>1648</v>
      </c>
      <c r="L446" s="16">
        <v>48.836122979300001</v>
      </c>
      <c r="M446" s="7">
        <v>2.2781191769600002</v>
      </c>
      <c r="N446" s="4" t="str">
        <f>VLOOKUP(C446,CHECKS!A:I,9,FALSE)</f>
        <v>#FF7E2E</v>
      </c>
      <c r="O446" s="4">
        <f>VLOOKUP(C446,CHECKS!A:I,6,FALSE)</f>
        <v>1.75</v>
      </c>
      <c r="P446" s="4">
        <f>VLOOKUP(C446,CHECKS!A:I,7,FALSE)</f>
        <v>4</v>
      </c>
      <c r="Q446" s="4">
        <f>VLOOKUP(C446,CHECKS!A:I,8,FALSE)</f>
        <v>7</v>
      </c>
      <c r="R446">
        <v>444</v>
      </c>
    </row>
    <row r="447" spans="1:18" x14ac:dyDescent="0.2">
      <c r="A447" s="4">
        <v>4460</v>
      </c>
      <c r="B447" s="2" t="s">
        <v>1716</v>
      </c>
      <c r="C447" s="4" t="s">
        <v>1712</v>
      </c>
      <c r="D447" s="2" t="s">
        <v>1698</v>
      </c>
      <c r="E447" s="2" t="s">
        <v>1717</v>
      </c>
      <c r="F447" s="2" t="s">
        <v>1698</v>
      </c>
      <c r="G447" s="4">
        <f t="shared" si="6"/>
        <v>1</v>
      </c>
      <c r="J447" s="2" t="s">
        <v>1899</v>
      </c>
      <c r="L447" s="16">
        <v>48.834358165499999</v>
      </c>
      <c r="M447" s="7">
        <v>2.2840072433</v>
      </c>
      <c r="N447" s="4" t="str">
        <f>VLOOKUP(C447,CHECKS!A:I,9,FALSE)</f>
        <v>#FF7E2E</v>
      </c>
      <c r="O447" s="4">
        <f>VLOOKUP(C447,CHECKS!A:I,6,FALSE)</f>
        <v>1.75</v>
      </c>
      <c r="P447" s="4">
        <f>VLOOKUP(C447,CHECKS!A:I,7,FALSE)</f>
        <v>4</v>
      </c>
      <c r="Q447" s="4">
        <f>VLOOKUP(C447,CHECKS!A:I,8,FALSE)</f>
        <v>7</v>
      </c>
      <c r="R447">
        <v>445</v>
      </c>
    </row>
    <row r="448" spans="1:18" x14ac:dyDescent="0.2">
      <c r="A448" s="4">
        <v>4470</v>
      </c>
      <c r="B448" s="2" t="s">
        <v>1718</v>
      </c>
      <c r="C448" s="4" t="s">
        <v>1712</v>
      </c>
      <c r="D448" s="2" t="s">
        <v>1185</v>
      </c>
      <c r="E448" s="2" t="s">
        <v>1719</v>
      </c>
      <c r="F448" s="2" t="s">
        <v>1185</v>
      </c>
      <c r="G448" s="4">
        <f t="shared" si="6"/>
        <v>3</v>
      </c>
      <c r="H448" s="2" t="s">
        <v>1697</v>
      </c>
      <c r="I448" s="2" t="s">
        <v>1008</v>
      </c>
      <c r="J448" s="2" t="s">
        <v>1900</v>
      </c>
      <c r="K448" s="2" t="s">
        <v>1185</v>
      </c>
      <c r="L448" s="16">
        <v>48.832676871899999</v>
      </c>
      <c r="M448" s="7">
        <v>2.2880694575999998</v>
      </c>
      <c r="N448" s="4" t="str">
        <f>VLOOKUP(C448,CHECKS!A:I,9,FALSE)</f>
        <v>#FF7E2E</v>
      </c>
      <c r="O448" s="4">
        <f>VLOOKUP(C448,CHECKS!A:I,6,FALSE)</f>
        <v>1.75</v>
      </c>
      <c r="P448" s="4">
        <f>VLOOKUP(C448,CHECKS!A:I,7,FALSE)</f>
        <v>4</v>
      </c>
      <c r="Q448" s="4">
        <f>VLOOKUP(C448,CHECKS!A:I,8,FALSE)</f>
        <v>7</v>
      </c>
      <c r="R448">
        <v>446</v>
      </c>
    </row>
    <row r="449" spans="1:18" x14ac:dyDescent="0.2">
      <c r="A449" s="4">
        <v>4480</v>
      </c>
      <c r="B449" s="2" t="s">
        <v>1720</v>
      </c>
      <c r="C449" s="4" t="s">
        <v>1712</v>
      </c>
      <c r="D449" s="2" t="s">
        <v>1699</v>
      </c>
      <c r="E449" s="2" t="s">
        <v>1721</v>
      </c>
      <c r="F449" s="2" t="s">
        <v>1699</v>
      </c>
      <c r="G449" s="4">
        <f t="shared" si="6"/>
        <v>1</v>
      </c>
      <c r="J449" s="2" t="s">
        <v>1901</v>
      </c>
      <c r="L449" s="16">
        <v>48.829826378999996</v>
      </c>
      <c r="M449" s="7">
        <v>2.29566198282</v>
      </c>
      <c r="N449" s="4" t="str">
        <f>VLOOKUP(C449,CHECKS!A:I,9,FALSE)</f>
        <v>#FF7E2E</v>
      </c>
      <c r="O449" s="4">
        <f>VLOOKUP(C449,CHECKS!A:I,6,FALSE)</f>
        <v>1.75</v>
      </c>
      <c r="P449" s="4">
        <f>VLOOKUP(C449,CHECKS!A:I,7,FALSE)</f>
        <v>4</v>
      </c>
      <c r="Q449" s="4">
        <f>VLOOKUP(C449,CHECKS!A:I,8,FALSE)</f>
        <v>7</v>
      </c>
      <c r="R449">
        <v>447</v>
      </c>
    </row>
    <row r="450" spans="1:18" x14ac:dyDescent="0.2">
      <c r="A450" s="4">
        <v>4490</v>
      </c>
      <c r="B450" s="2" t="s">
        <v>1722</v>
      </c>
      <c r="C450" s="4" t="s">
        <v>1712</v>
      </c>
      <c r="D450" s="2" t="s">
        <v>1700</v>
      </c>
      <c r="E450" s="2" t="s">
        <v>1723</v>
      </c>
      <c r="F450" s="2" t="s">
        <v>1700</v>
      </c>
      <c r="G450" s="4">
        <f t="shared" ref="G450:G513" si="7">COUNTIF(F:F,F450)</f>
        <v>1</v>
      </c>
      <c r="J450" s="2" t="s">
        <v>1902</v>
      </c>
      <c r="L450" s="16">
        <v>48.828671939499998</v>
      </c>
      <c r="M450" s="7">
        <v>2.3008518261300002</v>
      </c>
      <c r="N450" s="4" t="str">
        <f>VLOOKUP(C450,CHECKS!A:I,9,FALSE)</f>
        <v>#FF7E2E</v>
      </c>
      <c r="O450" s="4">
        <f>VLOOKUP(C450,CHECKS!A:I,6,FALSE)</f>
        <v>1.75</v>
      </c>
      <c r="P450" s="4">
        <f>VLOOKUP(C450,CHECKS!A:I,7,FALSE)</f>
        <v>4</v>
      </c>
      <c r="Q450" s="4">
        <f>VLOOKUP(C450,CHECKS!A:I,8,FALSE)</f>
        <v>7</v>
      </c>
      <c r="R450">
        <v>448</v>
      </c>
    </row>
    <row r="451" spans="1:18" x14ac:dyDescent="0.2">
      <c r="A451" s="4">
        <v>4500</v>
      </c>
      <c r="B451" s="2" t="s">
        <v>1724</v>
      </c>
      <c r="C451" s="4" t="s">
        <v>1712</v>
      </c>
      <c r="D451" s="2" t="s">
        <v>1233</v>
      </c>
      <c r="E451" s="2" t="s">
        <v>1725</v>
      </c>
      <c r="F451" s="2" t="s">
        <v>1233</v>
      </c>
      <c r="G451" s="4">
        <f t="shared" si="7"/>
        <v>2</v>
      </c>
      <c r="I451" s="2" t="s">
        <v>1037</v>
      </c>
      <c r="J451" s="2" t="s">
        <v>1903</v>
      </c>
      <c r="L451" s="16">
        <v>48.827414858700003</v>
      </c>
      <c r="M451" s="7">
        <v>2.3066359265099998</v>
      </c>
      <c r="N451" s="4" t="str">
        <f>VLOOKUP(C451,CHECKS!A:I,9,FALSE)</f>
        <v>#FF7E2E</v>
      </c>
      <c r="O451" s="4">
        <f>VLOOKUP(C451,CHECKS!A:I,6,FALSE)</f>
        <v>1.75</v>
      </c>
      <c r="P451" s="4">
        <f>VLOOKUP(C451,CHECKS!A:I,7,FALSE)</f>
        <v>4</v>
      </c>
      <c r="Q451" s="4">
        <f>VLOOKUP(C451,CHECKS!A:I,8,FALSE)</f>
        <v>7</v>
      </c>
      <c r="R451">
        <v>449</v>
      </c>
    </row>
    <row r="452" spans="1:18" x14ac:dyDescent="0.2">
      <c r="A452" s="4">
        <v>4510</v>
      </c>
      <c r="B452" s="2" t="s">
        <v>1726</v>
      </c>
      <c r="C452" s="4" t="s">
        <v>1712</v>
      </c>
      <c r="D452" s="2" t="s">
        <v>1701</v>
      </c>
      <c r="E452" s="2" t="s">
        <v>1727</v>
      </c>
      <c r="F452" s="2" t="s">
        <v>1701</v>
      </c>
      <c r="G452" s="4">
        <f t="shared" si="7"/>
        <v>1</v>
      </c>
      <c r="J452" s="2" t="s">
        <v>1904</v>
      </c>
      <c r="L452" s="16">
        <v>48.825920546100001</v>
      </c>
      <c r="M452" s="7">
        <v>2.3133800873800001</v>
      </c>
      <c r="N452" s="4" t="str">
        <f>VLOOKUP(C452,CHECKS!A:I,9,FALSE)</f>
        <v>#FF7E2E</v>
      </c>
      <c r="O452" s="4">
        <f>VLOOKUP(C452,CHECKS!A:I,6,FALSE)</f>
        <v>1.75</v>
      </c>
      <c r="P452" s="4">
        <f>VLOOKUP(C452,CHECKS!A:I,7,FALSE)</f>
        <v>4</v>
      </c>
      <c r="Q452" s="4">
        <f>VLOOKUP(C452,CHECKS!A:I,8,FALSE)</f>
        <v>7</v>
      </c>
      <c r="R452">
        <v>450</v>
      </c>
    </row>
    <row r="453" spans="1:18" x14ac:dyDescent="0.2">
      <c r="A453" s="4">
        <v>4520</v>
      </c>
      <c r="B453" s="2" t="s">
        <v>1728</v>
      </c>
      <c r="C453" s="4" t="s">
        <v>1712</v>
      </c>
      <c r="D453" s="2" t="s">
        <v>1702</v>
      </c>
      <c r="E453" s="2" t="s">
        <v>1729</v>
      </c>
      <c r="F453" s="2" t="s">
        <v>1702</v>
      </c>
      <c r="G453" s="4">
        <f t="shared" si="7"/>
        <v>1</v>
      </c>
      <c r="J453" s="2" t="s">
        <v>2238</v>
      </c>
      <c r="L453" s="16">
        <v>48.8247110179</v>
      </c>
      <c r="M453" s="7">
        <v>2.3188296912699999</v>
      </c>
      <c r="N453" s="4" t="str">
        <f>VLOOKUP(C453,CHECKS!A:I,9,FALSE)</f>
        <v>#FF7E2E</v>
      </c>
      <c r="O453" s="4">
        <f>VLOOKUP(C453,CHECKS!A:I,6,FALSE)</f>
        <v>1.75</v>
      </c>
      <c r="P453" s="4">
        <f>VLOOKUP(C453,CHECKS!A:I,7,FALSE)</f>
        <v>4</v>
      </c>
      <c r="Q453" s="4">
        <f>VLOOKUP(C453,CHECKS!A:I,8,FALSE)</f>
        <v>7</v>
      </c>
      <c r="R453">
        <v>451</v>
      </c>
    </row>
    <row r="454" spans="1:18" x14ac:dyDescent="0.2">
      <c r="A454" s="4">
        <v>4530</v>
      </c>
      <c r="B454" s="2" t="s">
        <v>1730</v>
      </c>
      <c r="C454" s="4" t="s">
        <v>1712</v>
      </c>
      <c r="D454" s="2" t="s">
        <v>2202</v>
      </c>
      <c r="E454" s="2" t="s">
        <v>1731</v>
      </c>
      <c r="F454" s="2" t="s">
        <v>2202</v>
      </c>
      <c r="G454" s="4">
        <f t="shared" si="7"/>
        <v>2</v>
      </c>
      <c r="I454" s="2" t="s">
        <v>304</v>
      </c>
      <c r="J454" s="2" t="s">
        <v>1905</v>
      </c>
      <c r="L454" s="16">
        <v>48.823151633099997</v>
      </c>
      <c r="M454" s="7">
        <v>2.3255095778200001</v>
      </c>
      <c r="N454" s="4" t="str">
        <f>VLOOKUP(C454,CHECKS!A:I,9,FALSE)</f>
        <v>#FF7E2E</v>
      </c>
      <c r="O454" s="4">
        <f>VLOOKUP(C454,CHECKS!A:I,6,FALSE)</f>
        <v>1.75</v>
      </c>
      <c r="P454" s="4">
        <f>VLOOKUP(C454,CHECKS!A:I,7,FALSE)</f>
        <v>4</v>
      </c>
      <c r="Q454" s="4">
        <f>VLOOKUP(C454,CHECKS!A:I,8,FALSE)</f>
        <v>7</v>
      </c>
      <c r="R454">
        <v>452</v>
      </c>
    </row>
    <row r="455" spans="1:18" x14ac:dyDescent="0.2">
      <c r="A455" s="4">
        <v>4540</v>
      </c>
      <c r="B455" s="2" t="s">
        <v>1732</v>
      </c>
      <c r="C455" s="4" t="s">
        <v>1712</v>
      </c>
      <c r="D455" s="2" t="s">
        <v>1703</v>
      </c>
      <c r="E455" s="2" t="s">
        <v>1733</v>
      </c>
      <c r="F455" s="2" t="s">
        <v>1703</v>
      </c>
      <c r="G455" s="4">
        <f t="shared" si="7"/>
        <v>1</v>
      </c>
      <c r="J455" s="2" t="s">
        <v>2261</v>
      </c>
      <c r="L455" s="16">
        <v>48.821508917400003</v>
      </c>
      <c r="M455" s="7">
        <v>2.3333398328600001</v>
      </c>
      <c r="N455" s="4" t="str">
        <f>VLOOKUP(C455,CHECKS!A:I,9,FALSE)</f>
        <v>#FF7E2E</v>
      </c>
      <c r="O455" s="4">
        <f>VLOOKUP(C455,CHECKS!A:I,6,FALSE)</f>
        <v>1.75</v>
      </c>
      <c r="P455" s="4">
        <f>VLOOKUP(C455,CHECKS!A:I,7,FALSE)</f>
        <v>4</v>
      </c>
      <c r="Q455" s="4">
        <f>VLOOKUP(C455,CHECKS!A:I,8,FALSE)</f>
        <v>7</v>
      </c>
      <c r="R455">
        <v>453</v>
      </c>
    </row>
    <row r="456" spans="1:18" x14ac:dyDescent="0.2">
      <c r="A456" s="4">
        <v>4550</v>
      </c>
      <c r="B456" s="2" t="s">
        <v>1734</v>
      </c>
      <c r="C456" s="4" t="s">
        <v>1712</v>
      </c>
      <c r="D456" s="2" t="s">
        <v>1704</v>
      </c>
      <c r="E456" s="2" t="s">
        <v>1735</v>
      </c>
      <c r="F456" s="2" t="s">
        <v>1704</v>
      </c>
      <c r="G456" s="4">
        <f t="shared" si="7"/>
        <v>2</v>
      </c>
      <c r="I456" s="2" t="s">
        <v>2503</v>
      </c>
      <c r="J456" s="2" t="s">
        <v>1906</v>
      </c>
      <c r="L456" s="16">
        <v>48.820350034199997</v>
      </c>
      <c r="M456" s="7">
        <v>2.3385807496400002</v>
      </c>
      <c r="N456" s="4" t="str">
        <f>VLOOKUP(C456,CHECKS!A:I,9,FALSE)</f>
        <v>#FF7E2E</v>
      </c>
      <c r="O456" s="4">
        <f>VLOOKUP(C456,CHECKS!A:I,6,FALSE)</f>
        <v>1.75</v>
      </c>
      <c r="P456" s="4">
        <f>VLOOKUP(C456,CHECKS!A:I,7,FALSE)</f>
        <v>4</v>
      </c>
      <c r="Q456" s="4">
        <f>VLOOKUP(C456,CHECKS!A:I,8,FALSE)</f>
        <v>7</v>
      </c>
      <c r="R456">
        <v>454</v>
      </c>
    </row>
    <row r="457" spans="1:18" x14ac:dyDescent="0.2">
      <c r="A457" s="4">
        <v>4560</v>
      </c>
      <c r="B457" s="2" t="s">
        <v>1736</v>
      </c>
      <c r="C457" s="4" t="s">
        <v>1712</v>
      </c>
      <c r="D457" s="2" t="s">
        <v>1705</v>
      </c>
      <c r="E457" s="2" t="s">
        <v>1737</v>
      </c>
      <c r="F457" s="2" t="s">
        <v>1705</v>
      </c>
      <c r="G457" s="4">
        <f t="shared" si="7"/>
        <v>1</v>
      </c>
      <c r="J457" s="2" t="s">
        <v>1907</v>
      </c>
      <c r="L457" s="16">
        <v>48.819500509900003</v>
      </c>
      <c r="M457" s="7">
        <v>2.3458035798400001</v>
      </c>
      <c r="N457" s="4" t="str">
        <f>VLOOKUP(C457,CHECKS!A:I,9,FALSE)</f>
        <v>#FF7E2E</v>
      </c>
      <c r="O457" s="4">
        <f>VLOOKUP(C457,CHECKS!A:I,6,FALSE)</f>
        <v>1.75</v>
      </c>
      <c r="P457" s="4">
        <f>VLOOKUP(C457,CHECKS!A:I,7,FALSE)</f>
        <v>4</v>
      </c>
      <c r="Q457" s="4">
        <f>VLOOKUP(C457,CHECKS!A:I,8,FALSE)</f>
        <v>7</v>
      </c>
      <c r="R457">
        <v>455</v>
      </c>
    </row>
    <row r="458" spans="1:18" x14ac:dyDescent="0.2">
      <c r="A458" s="4">
        <v>4570</v>
      </c>
      <c r="B458" s="2" t="s">
        <v>1738</v>
      </c>
      <c r="C458" s="4" t="s">
        <v>1712</v>
      </c>
      <c r="D458" s="2" t="s">
        <v>1706</v>
      </c>
      <c r="E458" s="2" t="s">
        <v>1739</v>
      </c>
      <c r="F458" s="2" t="s">
        <v>1706</v>
      </c>
      <c r="G458" s="4">
        <f t="shared" si="7"/>
        <v>1</v>
      </c>
      <c r="J458" s="2" t="s">
        <v>1908</v>
      </c>
      <c r="L458" s="16">
        <v>48.8208733552</v>
      </c>
      <c r="M458" s="7">
        <v>2.3509328780600001</v>
      </c>
      <c r="N458" s="4" t="str">
        <f>VLOOKUP(C458,CHECKS!A:I,9,FALSE)</f>
        <v>#FF7E2E</v>
      </c>
      <c r="O458" s="4">
        <f>VLOOKUP(C458,CHECKS!A:I,6,FALSE)</f>
        <v>1.75</v>
      </c>
      <c r="P458" s="4">
        <f>VLOOKUP(C458,CHECKS!A:I,7,FALSE)</f>
        <v>4</v>
      </c>
      <c r="Q458" s="4">
        <f>VLOOKUP(C458,CHECKS!A:I,8,FALSE)</f>
        <v>7</v>
      </c>
      <c r="R458">
        <v>456</v>
      </c>
    </row>
    <row r="459" spans="1:18" x14ac:dyDescent="0.2">
      <c r="A459" s="4">
        <v>4580</v>
      </c>
      <c r="B459" s="2" t="s">
        <v>1740</v>
      </c>
      <c r="C459" s="4" t="s">
        <v>1712</v>
      </c>
      <c r="D459" s="2" t="s">
        <v>517</v>
      </c>
      <c r="E459" s="2" t="s">
        <v>1741</v>
      </c>
      <c r="F459" s="2" t="s">
        <v>517</v>
      </c>
      <c r="G459" s="4">
        <f t="shared" si="7"/>
        <v>2</v>
      </c>
      <c r="I459" s="2" t="s">
        <v>626</v>
      </c>
      <c r="J459" s="2" t="s">
        <v>1909</v>
      </c>
      <c r="L459" s="16">
        <v>48.8190515147</v>
      </c>
      <c r="M459" s="7">
        <v>2.3601297420199998</v>
      </c>
      <c r="N459" s="4" t="str">
        <f>VLOOKUP(C459,CHECKS!A:I,9,FALSE)</f>
        <v>#FF7E2E</v>
      </c>
      <c r="O459" s="4">
        <f>VLOOKUP(C459,CHECKS!A:I,6,FALSE)</f>
        <v>1.75</v>
      </c>
      <c r="P459" s="4">
        <f>VLOOKUP(C459,CHECKS!A:I,7,FALSE)</f>
        <v>4</v>
      </c>
      <c r="Q459" s="4">
        <f>VLOOKUP(C459,CHECKS!A:I,8,FALSE)</f>
        <v>7</v>
      </c>
      <c r="R459">
        <v>457</v>
      </c>
    </row>
    <row r="460" spans="1:18" x14ac:dyDescent="0.2">
      <c r="A460" s="4">
        <v>4590</v>
      </c>
      <c r="B460" s="2" t="s">
        <v>1742</v>
      </c>
      <c r="C460" s="4" t="s">
        <v>1712</v>
      </c>
      <c r="D460" s="2" t="s">
        <v>518</v>
      </c>
      <c r="E460" s="2" t="s">
        <v>1743</v>
      </c>
      <c r="F460" s="2" t="s">
        <v>518</v>
      </c>
      <c r="G460" s="4">
        <f t="shared" si="7"/>
        <v>2</v>
      </c>
      <c r="I460" s="2" t="s">
        <v>628</v>
      </c>
      <c r="J460" s="2" t="s">
        <v>667</v>
      </c>
      <c r="L460" s="16">
        <v>48.819761267600001</v>
      </c>
      <c r="M460" s="7">
        <v>2.3640154621799998</v>
      </c>
      <c r="N460" s="4" t="str">
        <f>VLOOKUP(C460,CHECKS!A:I,9,FALSE)</f>
        <v>#FF7E2E</v>
      </c>
      <c r="O460" s="4">
        <f>VLOOKUP(C460,CHECKS!A:I,6,FALSE)</f>
        <v>1.75</v>
      </c>
      <c r="P460" s="4">
        <f>VLOOKUP(C460,CHECKS!A:I,7,FALSE)</f>
        <v>4</v>
      </c>
      <c r="Q460" s="4">
        <f>VLOOKUP(C460,CHECKS!A:I,8,FALSE)</f>
        <v>7</v>
      </c>
      <c r="R460">
        <v>458</v>
      </c>
    </row>
    <row r="461" spans="1:18" x14ac:dyDescent="0.2">
      <c r="A461" s="4">
        <v>4600</v>
      </c>
      <c r="B461" s="2" t="s">
        <v>1744</v>
      </c>
      <c r="C461" s="4" t="s">
        <v>1712</v>
      </c>
      <c r="D461" s="2" t="s">
        <v>519</v>
      </c>
      <c r="E461" s="2" t="s">
        <v>1745</v>
      </c>
      <c r="F461" s="2" t="s">
        <v>519</v>
      </c>
      <c r="G461" s="4">
        <f t="shared" si="7"/>
        <v>2</v>
      </c>
      <c r="I461" s="2" t="s">
        <v>630</v>
      </c>
      <c r="J461" s="2" t="s">
        <v>1910</v>
      </c>
      <c r="L461" s="16">
        <v>48.821829558099999</v>
      </c>
      <c r="M461" s="7">
        <v>2.3700536035300002</v>
      </c>
      <c r="N461" s="4" t="str">
        <f>VLOOKUP(C461,CHECKS!A:I,9,FALSE)</f>
        <v>#FF7E2E</v>
      </c>
      <c r="O461" s="4">
        <f>VLOOKUP(C461,CHECKS!A:I,6,FALSE)</f>
        <v>1.75</v>
      </c>
      <c r="P461" s="4">
        <f>VLOOKUP(C461,CHECKS!A:I,7,FALSE)</f>
        <v>4</v>
      </c>
      <c r="Q461" s="4">
        <f>VLOOKUP(C461,CHECKS!A:I,8,FALSE)</f>
        <v>7</v>
      </c>
      <c r="R461">
        <v>459</v>
      </c>
    </row>
    <row r="462" spans="1:18" x14ac:dyDescent="0.2">
      <c r="A462" s="4">
        <v>4610</v>
      </c>
      <c r="B462" s="2" t="s">
        <v>1746</v>
      </c>
      <c r="C462" s="4" t="s">
        <v>1712</v>
      </c>
      <c r="D462" s="2" t="s">
        <v>1707</v>
      </c>
      <c r="E462" s="2" t="s">
        <v>1747</v>
      </c>
      <c r="F462" s="2" t="s">
        <v>1707</v>
      </c>
      <c r="G462" s="4">
        <f t="shared" si="7"/>
        <v>1</v>
      </c>
      <c r="J462" s="2" t="s">
        <v>1911</v>
      </c>
      <c r="L462" s="16">
        <v>48.824328503499999</v>
      </c>
      <c r="M462" s="7">
        <v>2.3775842914599998</v>
      </c>
      <c r="N462" s="4" t="str">
        <f>VLOOKUP(C462,CHECKS!A:I,9,FALSE)</f>
        <v>#FF7E2E</v>
      </c>
      <c r="O462" s="4">
        <f>VLOOKUP(C462,CHECKS!A:I,6,FALSE)</f>
        <v>1.75</v>
      </c>
      <c r="P462" s="4">
        <f>VLOOKUP(C462,CHECKS!A:I,7,FALSE)</f>
        <v>4</v>
      </c>
      <c r="Q462" s="4">
        <f>VLOOKUP(C462,CHECKS!A:I,8,FALSE)</f>
        <v>7</v>
      </c>
      <c r="R462">
        <v>460</v>
      </c>
    </row>
    <row r="463" spans="1:18" x14ac:dyDescent="0.2">
      <c r="A463" s="4">
        <v>4620</v>
      </c>
      <c r="B463" s="2" t="s">
        <v>1748</v>
      </c>
      <c r="C463" s="4" t="s">
        <v>1712</v>
      </c>
      <c r="D463" s="2" t="s">
        <v>1708</v>
      </c>
      <c r="E463" s="2" t="s">
        <v>1749</v>
      </c>
      <c r="F463" s="2" t="s">
        <v>1708</v>
      </c>
      <c r="G463" s="4">
        <f t="shared" si="7"/>
        <v>1</v>
      </c>
      <c r="I463" s="2" t="s">
        <v>1048</v>
      </c>
      <c r="J463" s="2" t="s">
        <v>1912</v>
      </c>
      <c r="L463" s="16">
        <v>48.8255702286</v>
      </c>
      <c r="M463" s="7">
        <v>2.3811655919599999</v>
      </c>
      <c r="N463" s="4" t="str">
        <f>VLOOKUP(C463,CHECKS!A:I,9,FALSE)</f>
        <v>#FF7E2E</v>
      </c>
      <c r="O463" s="4">
        <f>VLOOKUP(C463,CHECKS!A:I,6,FALSE)</f>
        <v>1.75</v>
      </c>
      <c r="P463" s="4">
        <f>VLOOKUP(C463,CHECKS!A:I,7,FALSE)</f>
        <v>4</v>
      </c>
      <c r="Q463" s="4">
        <f>VLOOKUP(C463,CHECKS!A:I,8,FALSE)</f>
        <v>7</v>
      </c>
      <c r="R463">
        <v>461</v>
      </c>
    </row>
    <row r="464" spans="1:18" x14ac:dyDescent="0.2">
      <c r="A464" s="4">
        <v>4630</v>
      </c>
      <c r="B464" s="2" t="s">
        <v>1750</v>
      </c>
      <c r="C464" s="4" t="s">
        <v>1712</v>
      </c>
      <c r="D464" s="2" t="s">
        <v>1709</v>
      </c>
      <c r="E464" s="2" t="s">
        <v>1751</v>
      </c>
      <c r="F464" s="2" t="s">
        <v>1709</v>
      </c>
      <c r="G464" s="4">
        <f t="shared" si="7"/>
        <v>1</v>
      </c>
      <c r="J464" s="2" t="s">
        <v>1913</v>
      </c>
      <c r="L464" s="16">
        <v>48.8303885897</v>
      </c>
      <c r="M464" s="7">
        <v>2.39344969832</v>
      </c>
      <c r="N464" s="4" t="str">
        <f>VLOOKUP(C464,CHECKS!A:I,9,FALSE)</f>
        <v>#FF7E2E</v>
      </c>
      <c r="O464" s="4">
        <f>VLOOKUP(C464,CHECKS!A:I,6,FALSE)</f>
        <v>1.75</v>
      </c>
      <c r="P464" s="4">
        <f>VLOOKUP(C464,CHECKS!A:I,7,FALSE)</f>
        <v>4</v>
      </c>
      <c r="Q464" s="4">
        <f>VLOOKUP(C464,CHECKS!A:I,8,FALSE)</f>
        <v>7</v>
      </c>
      <c r="R464">
        <v>462</v>
      </c>
    </row>
    <row r="465" spans="1:18" x14ac:dyDescent="0.2">
      <c r="A465" s="4">
        <v>4640</v>
      </c>
      <c r="B465" s="2" t="s">
        <v>1752</v>
      </c>
      <c r="C465" s="4" t="s">
        <v>1712</v>
      </c>
      <c r="D465" s="2" t="s">
        <v>811</v>
      </c>
      <c r="E465" s="2" t="s">
        <v>1753</v>
      </c>
      <c r="F465" s="2" t="s">
        <v>811</v>
      </c>
      <c r="G465" s="4">
        <f t="shared" si="7"/>
        <v>2</v>
      </c>
      <c r="I465" s="2" t="s">
        <v>712</v>
      </c>
      <c r="J465" s="2" t="s">
        <v>1914</v>
      </c>
      <c r="L465" s="16">
        <v>48.831993086200001</v>
      </c>
      <c r="M465" s="7">
        <v>2.3983501038699999</v>
      </c>
      <c r="N465" s="4" t="str">
        <f>VLOOKUP(C465,CHECKS!A:I,9,FALSE)</f>
        <v>#FF7E2E</v>
      </c>
      <c r="O465" s="4">
        <f>VLOOKUP(C465,CHECKS!A:I,6,FALSE)</f>
        <v>1.75</v>
      </c>
      <c r="P465" s="4">
        <f>VLOOKUP(C465,CHECKS!A:I,7,FALSE)</f>
        <v>4</v>
      </c>
      <c r="Q465" s="4">
        <f>VLOOKUP(C465,CHECKS!A:I,8,FALSE)</f>
        <v>7</v>
      </c>
      <c r="R465">
        <v>463</v>
      </c>
    </row>
    <row r="466" spans="1:18" x14ac:dyDescent="0.2">
      <c r="A466" s="4">
        <v>4650</v>
      </c>
      <c r="B466" s="2" t="s">
        <v>1754</v>
      </c>
      <c r="C466" s="4" t="s">
        <v>1712</v>
      </c>
      <c r="D466" s="2" t="s">
        <v>810</v>
      </c>
      <c r="E466" s="2" t="s">
        <v>1755</v>
      </c>
      <c r="F466" s="2" t="s">
        <v>810</v>
      </c>
      <c r="G466" s="4">
        <f t="shared" si="7"/>
        <v>2</v>
      </c>
      <c r="I466" s="2" t="s">
        <v>711</v>
      </c>
      <c r="J466" s="2" t="s">
        <v>1915</v>
      </c>
      <c r="L466" s="16">
        <v>48.835522208299999</v>
      </c>
      <c r="M466" s="7">
        <v>2.4066571471399998</v>
      </c>
      <c r="N466" s="4" t="str">
        <f>VLOOKUP(C466,CHECKS!A:I,9,FALSE)</f>
        <v>#FF7E2E</v>
      </c>
      <c r="O466" s="4">
        <f>VLOOKUP(C466,CHECKS!A:I,6,FALSE)</f>
        <v>1.75</v>
      </c>
      <c r="P466" s="4">
        <f>VLOOKUP(C466,CHECKS!A:I,7,FALSE)</f>
        <v>4</v>
      </c>
      <c r="Q466" s="4">
        <f>VLOOKUP(C466,CHECKS!A:I,8,FALSE)</f>
        <v>7</v>
      </c>
      <c r="R466">
        <v>464</v>
      </c>
    </row>
    <row r="467" spans="1:18" x14ac:dyDescent="0.2">
      <c r="A467" s="4">
        <v>4660</v>
      </c>
      <c r="B467" s="2" t="s">
        <v>1756</v>
      </c>
      <c r="C467" s="4" t="s">
        <v>1712</v>
      </c>
      <c r="D467" s="2" t="s">
        <v>1710</v>
      </c>
      <c r="E467" s="2" t="s">
        <v>1757</v>
      </c>
      <c r="F467" s="2" t="s">
        <v>1710</v>
      </c>
      <c r="G467" s="4">
        <f t="shared" si="7"/>
        <v>1</v>
      </c>
      <c r="J467" s="2" t="s">
        <v>1916</v>
      </c>
      <c r="L467" s="16">
        <v>48.839841073199999</v>
      </c>
      <c r="M467" s="7">
        <v>2.4088668503999999</v>
      </c>
      <c r="N467" s="4" t="str">
        <f>VLOOKUP(C467,CHECKS!A:I,9,FALSE)</f>
        <v>#FF7E2E</v>
      </c>
      <c r="O467" s="4">
        <f>VLOOKUP(C467,CHECKS!A:I,6,FALSE)</f>
        <v>1.75</v>
      </c>
      <c r="P467" s="4">
        <f>VLOOKUP(C467,CHECKS!A:I,7,FALSE)</f>
        <v>4</v>
      </c>
      <c r="Q467" s="4">
        <f>VLOOKUP(C467,CHECKS!A:I,8,FALSE)</f>
        <v>7</v>
      </c>
      <c r="R467">
        <v>465</v>
      </c>
    </row>
    <row r="468" spans="1:18" x14ac:dyDescent="0.2">
      <c r="A468" s="4">
        <v>4670</v>
      </c>
      <c r="B468" s="2" t="s">
        <v>1758</v>
      </c>
      <c r="C468" s="4" t="s">
        <v>1712</v>
      </c>
      <c r="D468" s="2" t="s">
        <v>1711</v>
      </c>
      <c r="E468" s="2" t="s">
        <v>1759</v>
      </c>
      <c r="F468" s="2" t="s">
        <v>1711</v>
      </c>
      <c r="G468" s="4">
        <f t="shared" si="7"/>
        <v>1</v>
      </c>
      <c r="J468" s="2" t="s">
        <v>1917</v>
      </c>
      <c r="L468" s="16">
        <v>48.843771786700003</v>
      </c>
      <c r="M468" s="7">
        <v>2.41013203808</v>
      </c>
      <c r="N468" s="4" t="str">
        <f>VLOOKUP(C468,CHECKS!A:I,9,FALSE)</f>
        <v>#FF7E2E</v>
      </c>
      <c r="O468" s="4">
        <f>VLOOKUP(C468,CHECKS!A:I,6,FALSE)</f>
        <v>1.75</v>
      </c>
      <c r="P468" s="4">
        <f>VLOOKUP(C468,CHECKS!A:I,7,FALSE)</f>
        <v>4</v>
      </c>
      <c r="Q468" s="4">
        <f>VLOOKUP(C468,CHECKS!A:I,8,FALSE)</f>
        <v>7</v>
      </c>
      <c r="R468">
        <v>466</v>
      </c>
    </row>
    <row r="469" spans="1:18" x14ac:dyDescent="0.2">
      <c r="A469" s="4">
        <v>4680</v>
      </c>
      <c r="B469" s="2" t="s">
        <v>1760</v>
      </c>
      <c r="C469" s="4" t="s">
        <v>1712</v>
      </c>
      <c r="D469" s="2" t="s">
        <v>26</v>
      </c>
      <c r="E469" s="2" t="s">
        <v>1758</v>
      </c>
      <c r="F469" s="2" t="s">
        <v>26</v>
      </c>
      <c r="G469" s="4">
        <f t="shared" si="7"/>
        <v>3</v>
      </c>
      <c r="H469" s="2" t="s">
        <v>1778</v>
      </c>
      <c r="I469" s="2" t="s">
        <v>51</v>
      </c>
      <c r="J469" s="2" t="s">
        <v>1711</v>
      </c>
      <c r="K469" s="2" t="s">
        <v>26</v>
      </c>
      <c r="L469" s="16">
        <v>48.846948150999999</v>
      </c>
      <c r="M469" s="7">
        <v>2.4095514298</v>
      </c>
      <c r="N469" s="4" t="str">
        <f>VLOOKUP(C469,CHECKS!A:I,9,FALSE)</f>
        <v>#FF7E2E</v>
      </c>
      <c r="O469" s="4">
        <f>VLOOKUP(C469,CHECKS!A:I,6,FALSE)</f>
        <v>1.75</v>
      </c>
      <c r="P469" s="4">
        <f>VLOOKUP(C469,CHECKS!A:I,7,FALSE)</f>
        <v>4</v>
      </c>
      <c r="Q469" s="4">
        <f>VLOOKUP(C469,CHECKS!A:I,8,FALSE)</f>
        <v>7</v>
      </c>
      <c r="R469">
        <v>467</v>
      </c>
    </row>
    <row r="470" spans="1:18" x14ac:dyDescent="0.2">
      <c r="A470" s="4">
        <v>4690</v>
      </c>
      <c r="B470" s="2" t="s">
        <v>1778</v>
      </c>
      <c r="C470" s="4" t="s">
        <v>1761</v>
      </c>
      <c r="D470" s="2" t="s">
        <v>26</v>
      </c>
      <c r="E470" s="2" t="s">
        <v>1779</v>
      </c>
      <c r="F470" s="2" t="s">
        <v>26</v>
      </c>
      <c r="G470" s="4">
        <f t="shared" si="7"/>
        <v>3</v>
      </c>
      <c r="H470" s="2" t="s">
        <v>1760</v>
      </c>
      <c r="I470" s="2" t="s">
        <v>51</v>
      </c>
      <c r="J470" s="2" t="s">
        <v>918</v>
      </c>
      <c r="K470" s="2" t="s">
        <v>26</v>
      </c>
      <c r="L470" s="16">
        <v>48.847393890500001</v>
      </c>
      <c r="M470" s="7">
        <v>2.4096560563999998</v>
      </c>
      <c r="N470" s="4" t="str">
        <f>VLOOKUP(C470,CHECKS!A:I,9,FALSE)</f>
        <v>#00AE41</v>
      </c>
      <c r="O470" s="4">
        <f>VLOOKUP(C470,CHECKS!A:I,6,FALSE)</f>
        <v>2</v>
      </c>
      <c r="P470" s="4">
        <f>VLOOKUP(C470,CHECKS!A:I,7,FALSE)</f>
        <v>4</v>
      </c>
      <c r="Q470" s="4">
        <f>VLOOKUP(C470,CHECKS!A:I,8,FALSE)</f>
        <v>7</v>
      </c>
      <c r="R470">
        <v>468</v>
      </c>
    </row>
    <row r="471" spans="1:18" x14ac:dyDescent="0.2">
      <c r="A471" s="4">
        <v>4700</v>
      </c>
      <c r="B471" s="2" t="s">
        <v>1779</v>
      </c>
      <c r="C471" s="4" t="s">
        <v>1761</v>
      </c>
      <c r="D471" s="2" t="s">
        <v>918</v>
      </c>
      <c r="E471" s="2" t="s">
        <v>1780</v>
      </c>
      <c r="F471" s="2" t="s">
        <v>918</v>
      </c>
      <c r="G471" s="4">
        <f t="shared" si="7"/>
        <v>2</v>
      </c>
      <c r="I471" s="2" t="s">
        <v>755</v>
      </c>
      <c r="J471" s="2" t="s">
        <v>1918</v>
      </c>
      <c r="L471" s="16">
        <v>48.852987277899999</v>
      </c>
      <c r="M471" s="7">
        <v>2.41074113613</v>
      </c>
      <c r="N471" s="4" t="str">
        <f>VLOOKUP(C471,CHECKS!A:I,9,FALSE)</f>
        <v>#00AE41</v>
      </c>
      <c r="O471" s="4">
        <f>VLOOKUP(C471,CHECKS!A:I,6,FALSE)</f>
        <v>2</v>
      </c>
      <c r="P471" s="4">
        <f>VLOOKUP(C471,CHECKS!A:I,7,FALSE)</f>
        <v>4</v>
      </c>
      <c r="Q471" s="4">
        <f>VLOOKUP(C471,CHECKS!A:I,8,FALSE)</f>
        <v>7</v>
      </c>
      <c r="R471">
        <v>469</v>
      </c>
    </row>
    <row r="472" spans="1:18" x14ac:dyDescent="0.2">
      <c r="A472" s="4">
        <v>4710</v>
      </c>
      <c r="B472" s="2" t="s">
        <v>1781</v>
      </c>
      <c r="C472" s="4" t="s">
        <v>1761</v>
      </c>
      <c r="D472" s="2" t="s">
        <v>1763</v>
      </c>
      <c r="E472" s="2" t="s">
        <v>1782</v>
      </c>
      <c r="F472" s="2" t="s">
        <v>1763</v>
      </c>
      <c r="G472" s="4">
        <f t="shared" si="7"/>
        <v>1</v>
      </c>
      <c r="J472" s="2" t="s">
        <v>1919</v>
      </c>
      <c r="L472" s="16">
        <v>48.8587040102</v>
      </c>
      <c r="M472" s="7">
        <v>2.4096856869700001</v>
      </c>
      <c r="N472" s="4" t="str">
        <f>VLOOKUP(C472,CHECKS!A:I,9,FALSE)</f>
        <v>#00AE41</v>
      </c>
      <c r="O472" s="4">
        <f>VLOOKUP(C472,CHECKS!A:I,6,FALSE)</f>
        <v>2</v>
      </c>
      <c r="P472" s="4">
        <f>VLOOKUP(C472,CHECKS!A:I,7,FALSE)</f>
        <v>4</v>
      </c>
      <c r="Q472" s="4">
        <f>VLOOKUP(C472,CHECKS!A:I,8,FALSE)</f>
        <v>7</v>
      </c>
      <c r="R472">
        <v>470</v>
      </c>
    </row>
    <row r="473" spans="1:18" x14ac:dyDescent="0.2">
      <c r="A473" s="4">
        <v>4720</v>
      </c>
      <c r="B473" s="2" t="s">
        <v>1783</v>
      </c>
      <c r="C473" s="4" t="s">
        <v>1761</v>
      </c>
      <c r="D473" s="2" t="s">
        <v>248</v>
      </c>
      <c r="E473" s="2" t="s">
        <v>1784</v>
      </c>
      <c r="F473" s="2" t="s">
        <v>248</v>
      </c>
      <c r="G473" s="4">
        <f t="shared" si="7"/>
        <v>2</v>
      </c>
      <c r="I473" s="2" t="s">
        <v>225</v>
      </c>
      <c r="J473" s="2" t="s">
        <v>1920</v>
      </c>
      <c r="L473" s="16">
        <v>48.863433741999998</v>
      </c>
      <c r="M473" s="7">
        <v>2.4088324651400002</v>
      </c>
      <c r="N473" s="4" t="str">
        <f>VLOOKUP(C473,CHECKS!A:I,9,FALSE)</f>
        <v>#00AE41</v>
      </c>
      <c r="O473" s="4">
        <f>VLOOKUP(C473,CHECKS!A:I,6,FALSE)</f>
        <v>2</v>
      </c>
      <c r="P473" s="4">
        <f>VLOOKUP(C473,CHECKS!A:I,7,FALSE)</f>
        <v>4</v>
      </c>
      <c r="Q473" s="4">
        <f>VLOOKUP(C473,CHECKS!A:I,8,FALSE)</f>
        <v>7</v>
      </c>
      <c r="R473">
        <v>471</v>
      </c>
    </row>
    <row r="474" spans="1:18" x14ac:dyDescent="0.2">
      <c r="A474" s="4">
        <v>4730</v>
      </c>
      <c r="B474" s="2" t="s">
        <v>1785</v>
      </c>
      <c r="C474" s="4" t="s">
        <v>1761</v>
      </c>
      <c r="D474" s="2" t="s">
        <v>1762</v>
      </c>
      <c r="E474" s="2" t="s">
        <v>1786</v>
      </c>
      <c r="F474" s="2" t="s">
        <v>1762</v>
      </c>
      <c r="G474" s="4">
        <f t="shared" si="7"/>
        <v>1</v>
      </c>
      <c r="J474" s="2" t="s">
        <v>1921</v>
      </c>
      <c r="L474" s="7">
        <v>48.867521357199998</v>
      </c>
      <c r="M474" s="7">
        <v>2.4089789397399999</v>
      </c>
      <c r="N474" s="4" t="str">
        <f>VLOOKUP(C474,CHECKS!A:I,9,FALSE)</f>
        <v>#00AE41</v>
      </c>
      <c r="O474" s="4">
        <f>VLOOKUP(C474,CHECKS!A:I,6,FALSE)</f>
        <v>2</v>
      </c>
      <c r="P474" s="4">
        <f>VLOOKUP(C474,CHECKS!A:I,7,FALSE)</f>
        <v>4</v>
      </c>
      <c r="Q474" s="4">
        <f>VLOOKUP(C474,CHECKS!A:I,8,FALSE)</f>
        <v>7</v>
      </c>
      <c r="R474">
        <v>472</v>
      </c>
    </row>
    <row r="475" spans="1:18" x14ac:dyDescent="0.2">
      <c r="A475" s="4">
        <v>4740</v>
      </c>
      <c r="B475" s="2" t="s">
        <v>1787</v>
      </c>
      <c r="C475" s="4" t="s">
        <v>1761</v>
      </c>
      <c r="D475" s="2" t="s">
        <v>1764</v>
      </c>
      <c r="E475" s="2" t="s">
        <v>1788</v>
      </c>
      <c r="F475" s="2" t="s">
        <v>1764</v>
      </c>
      <c r="G475" s="4">
        <f t="shared" si="7"/>
        <v>1</v>
      </c>
      <c r="J475" s="2" t="s">
        <v>1922</v>
      </c>
      <c r="L475" s="16">
        <v>48.872404094399997</v>
      </c>
      <c r="M475" s="7">
        <v>2.40857757742</v>
      </c>
      <c r="N475" s="4" t="str">
        <f>VLOOKUP(C475,CHECKS!A:I,9,FALSE)</f>
        <v>#00AE41</v>
      </c>
      <c r="O475" s="4">
        <f>VLOOKUP(C475,CHECKS!A:I,6,FALSE)</f>
        <v>2</v>
      </c>
      <c r="P475" s="4">
        <f>VLOOKUP(C475,CHECKS!A:I,7,FALSE)</f>
        <v>4</v>
      </c>
      <c r="Q475" s="4">
        <f>VLOOKUP(C475,CHECKS!A:I,8,FALSE)</f>
        <v>7</v>
      </c>
      <c r="R475">
        <v>473</v>
      </c>
    </row>
    <row r="476" spans="1:18" x14ac:dyDescent="0.2">
      <c r="A476" s="4">
        <v>4750</v>
      </c>
      <c r="B476" s="2" t="s">
        <v>1789</v>
      </c>
      <c r="C476" s="4" t="s">
        <v>1761</v>
      </c>
      <c r="D476" s="2" t="s">
        <v>259</v>
      </c>
      <c r="E476" s="2" t="s">
        <v>1790</v>
      </c>
      <c r="F476" s="2" t="s">
        <v>259</v>
      </c>
      <c r="G476" s="4">
        <f t="shared" si="7"/>
        <v>3</v>
      </c>
      <c r="I476" s="2" t="s">
        <v>1507</v>
      </c>
      <c r="J476" s="2" t="s">
        <v>1923</v>
      </c>
      <c r="L476" s="16">
        <v>48.876568775300001</v>
      </c>
      <c r="M476" s="7">
        <v>2.4070349219599998</v>
      </c>
      <c r="N476" s="4" t="str">
        <f>VLOOKUP(C476,CHECKS!A:I,9,FALSE)</f>
        <v>#00AE41</v>
      </c>
      <c r="O476" s="4">
        <f>VLOOKUP(C476,CHECKS!A:I,6,FALSE)</f>
        <v>2</v>
      </c>
      <c r="P476" s="4">
        <f>VLOOKUP(C476,CHECKS!A:I,7,FALSE)</f>
        <v>4</v>
      </c>
      <c r="Q476" s="4">
        <f>VLOOKUP(C476,CHECKS!A:I,8,FALSE)</f>
        <v>7</v>
      </c>
      <c r="R476">
        <v>474</v>
      </c>
    </row>
    <row r="477" spans="1:18" x14ac:dyDescent="0.2">
      <c r="A477" s="4">
        <v>4760</v>
      </c>
      <c r="B477" s="2" t="s">
        <v>1791</v>
      </c>
      <c r="C477" s="4" t="s">
        <v>1761</v>
      </c>
      <c r="D477" s="2" t="s">
        <v>1765</v>
      </c>
      <c r="E477" s="2" t="s">
        <v>1792</v>
      </c>
      <c r="F477" s="2" t="s">
        <v>774</v>
      </c>
      <c r="G477" s="4">
        <f t="shared" si="7"/>
        <v>2</v>
      </c>
      <c r="I477" s="2" t="s">
        <v>683</v>
      </c>
      <c r="J477" s="2" t="s">
        <v>1924</v>
      </c>
      <c r="L477" s="16">
        <v>48.879470369099998</v>
      </c>
      <c r="M477" s="7">
        <v>2.40122176128</v>
      </c>
      <c r="N477" s="4" t="str">
        <f>VLOOKUP(C477,CHECKS!A:I,9,FALSE)</f>
        <v>#00AE41</v>
      </c>
      <c r="O477" s="4">
        <f>VLOOKUP(C477,CHECKS!A:I,6,FALSE)</f>
        <v>2</v>
      </c>
      <c r="P477" s="4">
        <f>VLOOKUP(C477,CHECKS!A:I,7,FALSE)</f>
        <v>4</v>
      </c>
      <c r="Q477" s="4">
        <f>VLOOKUP(C477,CHECKS!A:I,8,FALSE)</f>
        <v>7</v>
      </c>
      <c r="R477">
        <v>475</v>
      </c>
    </row>
    <row r="478" spans="1:18" x14ac:dyDescent="0.2">
      <c r="A478" s="4">
        <v>4770</v>
      </c>
      <c r="B478" s="2" t="s">
        <v>1793</v>
      </c>
      <c r="C478" s="4" t="s">
        <v>1761</v>
      </c>
      <c r="D478" s="2" t="s">
        <v>1766</v>
      </c>
      <c r="E478" s="2" t="s">
        <v>1794</v>
      </c>
      <c r="F478" s="2" t="s">
        <v>1766</v>
      </c>
      <c r="G478" s="4">
        <f t="shared" si="7"/>
        <v>1</v>
      </c>
      <c r="J478" s="2" t="s">
        <v>1925</v>
      </c>
      <c r="L478" s="16">
        <v>48.885016789200002</v>
      </c>
      <c r="M478" s="7">
        <v>2.3967512888</v>
      </c>
      <c r="N478" s="4" t="str">
        <f>VLOOKUP(C478,CHECKS!A:I,9,FALSE)</f>
        <v>#00AE41</v>
      </c>
      <c r="O478" s="4">
        <f>VLOOKUP(C478,CHECKS!A:I,6,FALSE)</f>
        <v>2</v>
      </c>
      <c r="P478" s="4">
        <f>VLOOKUP(C478,CHECKS!A:I,7,FALSE)</f>
        <v>4</v>
      </c>
      <c r="Q478" s="4">
        <f>VLOOKUP(C478,CHECKS!A:I,8,FALSE)</f>
        <v>7</v>
      </c>
      <c r="R478">
        <v>476</v>
      </c>
    </row>
    <row r="479" spans="1:18" x14ac:dyDescent="0.2">
      <c r="A479" s="4">
        <v>4780</v>
      </c>
      <c r="B479" s="2" t="s">
        <v>1795</v>
      </c>
      <c r="C479" s="4" t="s">
        <v>1761</v>
      </c>
      <c r="D479" s="2" t="s">
        <v>407</v>
      </c>
      <c r="E479" s="2" t="s">
        <v>1796</v>
      </c>
      <c r="F479" s="2" t="s">
        <v>407</v>
      </c>
      <c r="G479" s="4">
        <f t="shared" si="7"/>
        <v>2</v>
      </c>
      <c r="I479" s="2" t="s">
        <v>382</v>
      </c>
      <c r="J479" s="2" t="s">
        <v>1926</v>
      </c>
      <c r="L479" s="16">
        <v>48.889007649500002</v>
      </c>
      <c r="M479" s="7">
        <v>2.3956810747100001</v>
      </c>
      <c r="N479" s="4" t="str">
        <f>VLOOKUP(C479,CHECKS!A:I,9,FALSE)</f>
        <v>#00AE41</v>
      </c>
      <c r="O479" s="4">
        <f>VLOOKUP(C479,CHECKS!A:I,6,FALSE)</f>
        <v>2</v>
      </c>
      <c r="P479" s="4">
        <f>VLOOKUP(C479,CHECKS!A:I,7,FALSE)</f>
        <v>4</v>
      </c>
      <c r="Q479" s="4">
        <f>VLOOKUP(C479,CHECKS!A:I,8,FALSE)</f>
        <v>7</v>
      </c>
      <c r="R479">
        <v>477</v>
      </c>
    </row>
    <row r="480" spans="1:18" x14ac:dyDescent="0.2">
      <c r="A480" s="4">
        <v>4790</v>
      </c>
      <c r="B480" s="2" t="s">
        <v>1797</v>
      </c>
      <c r="C480" s="4" t="s">
        <v>1761</v>
      </c>
      <c r="D480" s="2" t="s">
        <v>1767</v>
      </c>
      <c r="E480" s="2" t="s">
        <v>1798</v>
      </c>
      <c r="F480" s="2" t="s">
        <v>1767</v>
      </c>
      <c r="G480" s="4">
        <f t="shared" si="7"/>
        <v>1</v>
      </c>
      <c r="J480" s="2" t="s">
        <v>1927</v>
      </c>
      <c r="L480" s="16">
        <v>48.8938802825</v>
      </c>
      <c r="M480" s="7">
        <v>2.3977388506500001</v>
      </c>
      <c r="N480" s="4" t="str">
        <f>VLOOKUP(C480,CHECKS!A:I,9,FALSE)</f>
        <v>#00AE41</v>
      </c>
      <c r="O480" s="4">
        <f>VLOOKUP(C480,CHECKS!A:I,6,FALSE)</f>
        <v>2</v>
      </c>
      <c r="P480" s="4">
        <f>VLOOKUP(C480,CHECKS!A:I,7,FALSE)</f>
        <v>4</v>
      </c>
      <c r="Q480" s="4">
        <f>VLOOKUP(C480,CHECKS!A:I,8,FALSE)</f>
        <v>7</v>
      </c>
      <c r="R480">
        <v>478</v>
      </c>
    </row>
    <row r="481" spans="1:18" x14ac:dyDescent="0.2">
      <c r="A481" s="4">
        <v>4800</v>
      </c>
      <c r="B481" s="2" t="s">
        <v>1799</v>
      </c>
      <c r="C481" s="4" t="s">
        <v>1761</v>
      </c>
      <c r="D481" s="2" t="s">
        <v>1768</v>
      </c>
      <c r="E481" s="2" t="s">
        <v>1800</v>
      </c>
      <c r="F481" s="2" t="s">
        <v>1768</v>
      </c>
      <c r="G481" s="4">
        <f t="shared" si="7"/>
        <v>1</v>
      </c>
      <c r="J481" s="2" t="s">
        <v>1928</v>
      </c>
      <c r="L481" s="16">
        <v>48.897432849499999</v>
      </c>
      <c r="M481" s="7">
        <v>2.3950417496799998</v>
      </c>
      <c r="N481" s="4" t="str">
        <f>VLOOKUP(C481,CHECKS!A:I,9,FALSE)</f>
        <v>#00AE41</v>
      </c>
      <c r="O481" s="4">
        <f>VLOOKUP(C481,CHECKS!A:I,6,FALSE)</f>
        <v>2</v>
      </c>
      <c r="P481" s="4">
        <f>VLOOKUP(C481,CHECKS!A:I,7,FALSE)</f>
        <v>4</v>
      </c>
      <c r="Q481" s="4">
        <f>VLOOKUP(C481,CHECKS!A:I,8,FALSE)</f>
        <v>7</v>
      </c>
      <c r="R481">
        <v>479</v>
      </c>
    </row>
    <row r="482" spans="1:18" x14ac:dyDescent="0.2">
      <c r="A482" s="4">
        <v>4810</v>
      </c>
      <c r="B482" s="2" t="s">
        <v>1801</v>
      </c>
      <c r="C482" s="4" t="s">
        <v>1761</v>
      </c>
      <c r="D482" s="2" t="s">
        <v>497</v>
      </c>
      <c r="E482" s="2" t="s">
        <v>1802</v>
      </c>
      <c r="F482" s="2" t="s">
        <v>497</v>
      </c>
      <c r="G482" s="4">
        <f t="shared" si="7"/>
        <v>2</v>
      </c>
      <c r="I482" s="2" t="s">
        <v>574</v>
      </c>
      <c r="J482" s="2" t="s">
        <v>1929</v>
      </c>
      <c r="L482" s="16">
        <v>48.897428735600002</v>
      </c>
      <c r="M482" s="7">
        <v>2.3865814331099999</v>
      </c>
      <c r="N482" s="4" t="str">
        <f>VLOOKUP(C482,CHECKS!A:I,9,FALSE)</f>
        <v>#00AE41</v>
      </c>
      <c r="O482" s="4">
        <f>VLOOKUP(C482,CHECKS!A:I,6,FALSE)</f>
        <v>2</v>
      </c>
      <c r="P482" s="4">
        <f>VLOOKUP(C482,CHECKS!A:I,7,FALSE)</f>
        <v>4</v>
      </c>
      <c r="Q482" s="4">
        <f>VLOOKUP(C482,CHECKS!A:I,8,FALSE)</f>
        <v>7</v>
      </c>
      <c r="R482">
        <v>480</v>
      </c>
    </row>
    <row r="483" spans="1:18" x14ac:dyDescent="0.2">
      <c r="A483" s="4">
        <v>4820</v>
      </c>
      <c r="B483" s="2" t="s">
        <v>1803</v>
      </c>
      <c r="C483" s="4" t="s">
        <v>1761</v>
      </c>
      <c r="D483" s="2" t="s">
        <v>1769</v>
      </c>
      <c r="E483" s="2" t="s">
        <v>1804</v>
      </c>
      <c r="F483" s="2" t="s">
        <v>1769</v>
      </c>
      <c r="G483" s="4">
        <f t="shared" si="7"/>
        <v>1</v>
      </c>
      <c r="J483" s="2" t="s">
        <v>1930</v>
      </c>
      <c r="L483" s="16">
        <v>48.898733990700002</v>
      </c>
      <c r="M483" s="7">
        <v>2.3805370354900002</v>
      </c>
      <c r="N483" s="4" t="str">
        <f>VLOOKUP(C483,CHECKS!A:I,9,FALSE)</f>
        <v>#00AE41</v>
      </c>
      <c r="O483" s="4">
        <f>VLOOKUP(C483,CHECKS!A:I,6,FALSE)</f>
        <v>2</v>
      </c>
      <c r="P483" s="4">
        <f>VLOOKUP(C483,CHECKS!A:I,7,FALSE)</f>
        <v>4</v>
      </c>
      <c r="Q483" s="4">
        <f>VLOOKUP(C483,CHECKS!A:I,8,FALSE)</f>
        <v>7</v>
      </c>
      <c r="R483">
        <v>481</v>
      </c>
    </row>
    <row r="484" spans="1:18" x14ac:dyDescent="0.2">
      <c r="A484" s="4">
        <v>4830</v>
      </c>
      <c r="B484" s="2" t="s">
        <v>1805</v>
      </c>
      <c r="C484" s="4" t="s">
        <v>1761</v>
      </c>
      <c r="D484" s="2" t="s">
        <v>1770</v>
      </c>
      <c r="E484" s="2" t="s">
        <v>1806</v>
      </c>
      <c r="F484" s="2" t="s">
        <v>1770</v>
      </c>
      <c r="G484" s="4">
        <f t="shared" si="7"/>
        <v>1</v>
      </c>
      <c r="J484" s="2" t="s">
        <v>1931</v>
      </c>
      <c r="L484" s="16">
        <v>48.897552809899999</v>
      </c>
      <c r="M484" s="7">
        <v>2.3733837960000002</v>
      </c>
      <c r="N484" s="4" t="str">
        <f>VLOOKUP(C484,CHECKS!A:I,9,FALSE)</f>
        <v>#00AE41</v>
      </c>
      <c r="O484" s="4">
        <f>VLOOKUP(C484,CHECKS!A:I,6,FALSE)</f>
        <v>2</v>
      </c>
      <c r="P484" s="4">
        <f>VLOOKUP(C484,CHECKS!A:I,7,FALSE)</f>
        <v>4</v>
      </c>
      <c r="Q484" s="4">
        <f>VLOOKUP(C484,CHECKS!A:I,8,FALSE)</f>
        <v>7</v>
      </c>
      <c r="R484">
        <v>482</v>
      </c>
    </row>
    <row r="485" spans="1:18" x14ac:dyDescent="0.2">
      <c r="A485" s="4">
        <v>4840</v>
      </c>
      <c r="B485" s="2" t="s">
        <v>1807</v>
      </c>
      <c r="C485" s="4" t="s">
        <v>1761</v>
      </c>
      <c r="D485" s="2" t="s">
        <v>1771</v>
      </c>
      <c r="E485" s="2" t="s">
        <v>1808</v>
      </c>
      <c r="F485" s="2" t="s">
        <v>1771</v>
      </c>
      <c r="G485" s="4">
        <f t="shared" si="7"/>
        <v>1</v>
      </c>
      <c r="J485" s="2" t="s">
        <v>1932</v>
      </c>
      <c r="L485" s="16">
        <v>48.898601172200003</v>
      </c>
      <c r="M485" s="7">
        <v>2.3690369493199999</v>
      </c>
      <c r="N485" s="4" t="str">
        <f>VLOOKUP(C485,CHECKS!A:I,9,FALSE)</f>
        <v>#00AE41</v>
      </c>
      <c r="O485" s="4">
        <f>VLOOKUP(C485,CHECKS!A:I,6,FALSE)</f>
        <v>2</v>
      </c>
      <c r="P485" s="4">
        <f>VLOOKUP(C485,CHECKS!A:I,7,FALSE)</f>
        <v>4</v>
      </c>
      <c r="Q485" s="4">
        <f>VLOOKUP(C485,CHECKS!A:I,8,FALSE)</f>
        <v>7</v>
      </c>
      <c r="R485">
        <v>483</v>
      </c>
    </row>
    <row r="486" spans="1:18" x14ac:dyDescent="0.2">
      <c r="A486" s="4">
        <v>4850</v>
      </c>
      <c r="B486" s="2" t="s">
        <v>1809</v>
      </c>
      <c r="C486" s="4" t="s">
        <v>1761</v>
      </c>
      <c r="D486" s="2" t="s">
        <v>1772</v>
      </c>
      <c r="E486" s="2" t="s">
        <v>1810</v>
      </c>
      <c r="F486" s="2" t="s">
        <v>1772</v>
      </c>
      <c r="G486" s="4">
        <f t="shared" si="7"/>
        <v>1</v>
      </c>
      <c r="J486" s="2" t="s">
        <v>1933</v>
      </c>
      <c r="L486" s="16">
        <v>48.898491101600001</v>
      </c>
      <c r="M486" s="7">
        <v>2.36365138218</v>
      </c>
      <c r="N486" s="4" t="str">
        <f>VLOOKUP(C486,CHECKS!A:I,9,FALSE)</f>
        <v>#00AE41</v>
      </c>
      <c r="O486" s="4">
        <f>VLOOKUP(C486,CHECKS!A:I,6,FALSE)</f>
        <v>2</v>
      </c>
      <c r="P486" s="4">
        <f>VLOOKUP(C486,CHECKS!A:I,7,FALSE)</f>
        <v>4</v>
      </c>
      <c r="Q486" s="4">
        <f>VLOOKUP(C486,CHECKS!A:I,8,FALSE)</f>
        <v>7</v>
      </c>
      <c r="R486">
        <v>484</v>
      </c>
    </row>
    <row r="487" spans="1:18" x14ac:dyDescent="0.2">
      <c r="A487" s="4">
        <v>4860</v>
      </c>
      <c r="B487" s="2" t="s">
        <v>1811</v>
      </c>
      <c r="C487" s="4" t="s">
        <v>1761</v>
      </c>
      <c r="D487" s="2" t="s">
        <v>1167</v>
      </c>
      <c r="E487" s="2" t="s">
        <v>1812</v>
      </c>
      <c r="F487" s="2" t="s">
        <v>1167</v>
      </c>
      <c r="G487" s="4">
        <f t="shared" si="7"/>
        <v>2</v>
      </c>
      <c r="I487" s="2" t="s">
        <v>983</v>
      </c>
      <c r="J487" s="2" t="s">
        <v>1934</v>
      </c>
      <c r="L487" s="16">
        <v>48.898392124799997</v>
      </c>
      <c r="M487" s="7">
        <v>2.3583754693399999</v>
      </c>
      <c r="N487" s="4" t="str">
        <f>VLOOKUP(C487,CHECKS!A:I,9,FALSE)</f>
        <v>#00AE41</v>
      </c>
      <c r="O487" s="4">
        <f>VLOOKUP(C487,CHECKS!A:I,6,FALSE)</f>
        <v>2</v>
      </c>
      <c r="P487" s="4">
        <f>VLOOKUP(C487,CHECKS!A:I,7,FALSE)</f>
        <v>4</v>
      </c>
      <c r="Q487" s="4">
        <f>VLOOKUP(C487,CHECKS!A:I,8,FALSE)</f>
        <v>7</v>
      </c>
      <c r="R487">
        <v>485</v>
      </c>
    </row>
    <row r="488" spans="1:18" x14ac:dyDescent="0.2">
      <c r="A488" s="4">
        <v>4870</v>
      </c>
      <c r="B488" s="2" t="s">
        <v>1813</v>
      </c>
      <c r="C488" s="4" t="s">
        <v>1761</v>
      </c>
      <c r="D488" s="2" t="s">
        <v>1773</v>
      </c>
      <c r="E488" s="2" t="s">
        <v>1814</v>
      </c>
      <c r="F488" s="2" t="s">
        <v>1773</v>
      </c>
      <c r="G488" s="4">
        <f t="shared" si="7"/>
        <v>1</v>
      </c>
      <c r="J488" s="2" t="s">
        <v>1935</v>
      </c>
      <c r="L488" s="16">
        <v>48.898325558400003</v>
      </c>
      <c r="M488" s="7">
        <v>2.3518295501300002</v>
      </c>
      <c r="N488" s="4" t="str">
        <f>VLOOKUP(C488,CHECKS!A:I,9,FALSE)</f>
        <v>#00AE41</v>
      </c>
      <c r="O488" s="4">
        <f>VLOOKUP(C488,CHECKS!A:I,6,FALSE)</f>
        <v>2</v>
      </c>
      <c r="P488" s="4">
        <f>VLOOKUP(C488,CHECKS!A:I,7,FALSE)</f>
        <v>4</v>
      </c>
      <c r="Q488" s="4">
        <f>VLOOKUP(C488,CHECKS!A:I,8,FALSE)</f>
        <v>7</v>
      </c>
      <c r="R488">
        <v>486</v>
      </c>
    </row>
    <row r="489" spans="1:18" x14ac:dyDescent="0.2">
      <c r="A489" s="4">
        <v>4880</v>
      </c>
      <c r="B489" s="2" t="s">
        <v>1815</v>
      </c>
      <c r="C489" s="4" t="s">
        <v>1761</v>
      </c>
      <c r="D489" s="2" t="s">
        <v>306</v>
      </c>
      <c r="E489" s="2" t="s">
        <v>1816</v>
      </c>
      <c r="F489" s="2" t="s">
        <v>306</v>
      </c>
      <c r="G489" s="4">
        <f t="shared" si="7"/>
        <v>2</v>
      </c>
      <c r="I489" s="2" t="s">
        <v>279</v>
      </c>
      <c r="J489" s="2" t="s">
        <v>1936</v>
      </c>
      <c r="L489" s="16">
        <v>48.898024746499999</v>
      </c>
      <c r="M489" s="7">
        <v>2.34522829378</v>
      </c>
      <c r="N489" s="4" t="str">
        <f>VLOOKUP(C489,CHECKS!A:I,9,FALSE)</f>
        <v>#00AE41</v>
      </c>
      <c r="O489" s="4">
        <f>VLOOKUP(C489,CHECKS!A:I,6,FALSE)</f>
        <v>2</v>
      </c>
      <c r="P489" s="4">
        <f>VLOOKUP(C489,CHECKS!A:I,7,FALSE)</f>
        <v>4</v>
      </c>
      <c r="Q489" s="4">
        <f>VLOOKUP(C489,CHECKS!A:I,8,FALSE)</f>
        <v>7</v>
      </c>
      <c r="R489">
        <v>487</v>
      </c>
    </row>
    <row r="490" spans="1:18" x14ac:dyDescent="0.2">
      <c r="A490" s="4">
        <v>4890</v>
      </c>
      <c r="B490" s="2" t="s">
        <v>1817</v>
      </c>
      <c r="C490" s="4" t="s">
        <v>1761</v>
      </c>
      <c r="D490" s="2" t="s">
        <v>1774</v>
      </c>
      <c r="E490" s="2" t="s">
        <v>1818</v>
      </c>
      <c r="F490" s="2" t="s">
        <v>1774</v>
      </c>
      <c r="G490" s="4">
        <f t="shared" si="7"/>
        <v>1</v>
      </c>
      <c r="J490" s="2" t="s">
        <v>1937</v>
      </c>
      <c r="L490" s="16">
        <v>48.897832385100003</v>
      </c>
      <c r="M490" s="7">
        <v>2.3380267402300001</v>
      </c>
      <c r="N490" s="4" t="str">
        <f>VLOOKUP(C490,CHECKS!A:I,9,FALSE)</f>
        <v>#00AE41</v>
      </c>
      <c r="O490" s="4">
        <f>VLOOKUP(C490,CHECKS!A:I,6,FALSE)</f>
        <v>2</v>
      </c>
      <c r="P490" s="4">
        <f>VLOOKUP(C490,CHECKS!A:I,7,FALSE)</f>
        <v>4</v>
      </c>
      <c r="Q490" s="4">
        <f>VLOOKUP(C490,CHECKS!A:I,8,FALSE)</f>
        <v>7</v>
      </c>
      <c r="R490">
        <v>488</v>
      </c>
    </row>
    <row r="491" spans="1:18" x14ac:dyDescent="0.2">
      <c r="A491" s="4">
        <v>4900</v>
      </c>
      <c r="B491" s="2" t="s">
        <v>1819</v>
      </c>
      <c r="C491" s="4" t="s">
        <v>1761</v>
      </c>
      <c r="D491" s="2" t="s">
        <v>1221</v>
      </c>
      <c r="E491" s="2" t="s">
        <v>1820</v>
      </c>
      <c r="F491" s="2" t="s">
        <v>1221</v>
      </c>
      <c r="G491" s="4">
        <f t="shared" si="7"/>
        <v>2</v>
      </c>
      <c r="I491" s="2" t="s">
        <v>1017</v>
      </c>
      <c r="J491" s="2" t="s">
        <v>1938</v>
      </c>
      <c r="L491" s="16">
        <v>48.897671819499998</v>
      </c>
      <c r="M491" s="7">
        <v>2.32983033449</v>
      </c>
      <c r="N491" s="4" t="str">
        <f>VLOOKUP(C491,CHECKS!A:I,9,FALSE)</f>
        <v>#00AE41</v>
      </c>
      <c r="O491" s="4">
        <f>VLOOKUP(C491,CHECKS!A:I,6,FALSE)</f>
        <v>2</v>
      </c>
      <c r="P491" s="4">
        <f>VLOOKUP(C491,CHECKS!A:I,7,FALSE)</f>
        <v>4</v>
      </c>
      <c r="Q491" s="4">
        <f>VLOOKUP(C491,CHECKS!A:I,8,FALSE)</f>
        <v>7</v>
      </c>
      <c r="R491">
        <v>489</v>
      </c>
    </row>
    <row r="492" spans="1:18" x14ac:dyDescent="0.2">
      <c r="A492" s="4">
        <v>4910</v>
      </c>
      <c r="B492" s="2" t="s">
        <v>1821</v>
      </c>
      <c r="C492" s="4" t="s">
        <v>1761</v>
      </c>
      <c r="D492" s="2" t="s">
        <v>1775</v>
      </c>
      <c r="E492" s="2" t="s">
        <v>1822</v>
      </c>
      <c r="F492" s="2" t="s">
        <v>1775</v>
      </c>
      <c r="G492" s="4">
        <f t="shared" si="7"/>
        <v>1</v>
      </c>
      <c r="J492" s="2" t="s">
        <v>1939</v>
      </c>
      <c r="L492" s="16">
        <v>48.897516716799998</v>
      </c>
      <c r="M492" s="7">
        <v>2.3237279130099999</v>
      </c>
      <c r="N492" s="4" t="str">
        <f>VLOOKUP(C492,CHECKS!A:I,9,FALSE)</f>
        <v>#00AE41</v>
      </c>
      <c r="O492" s="4">
        <f>VLOOKUP(C492,CHECKS!A:I,6,FALSE)</f>
        <v>2</v>
      </c>
      <c r="P492" s="4">
        <f>VLOOKUP(C492,CHECKS!A:I,7,FALSE)</f>
        <v>4</v>
      </c>
      <c r="Q492" s="4">
        <f>VLOOKUP(C492,CHECKS!A:I,8,FALSE)</f>
        <v>7</v>
      </c>
      <c r="R492">
        <v>490</v>
      </c>
    </row>
    <row r="493" spans="1:18" x14ac:dyDescent="0.2">
      <c r="A493" s="4">
        <v>4920</v>
      </c>
      <c r="B493" s="2" t="s">
        <v>1823</v>
      </c>
      <c r="C493" s="4" t="s">
        <v>1761</v>
      </c>
      <c r="D493" s="2" t="s">
        <v>1776</v>
      </c>
      <c r="E493" s="2" t="s">
        <v>1824</v>
      </c>
      <c r="F493" s="2" t="s">
        <v>1776</v>
      </c>
      <c r="G493" s="4">
        <f t="shared" si="7"/>
        <v>1</v>
      </c>
      <c r="J493" s="2" t="s">
        <v>1940</v>
      </c>
      <c r="L493" s="16">
        <v>48.896226494700002</v>
      </c>
      <c r="M493" s="7">
        <v>2.3188023272599998</v>
      </c>
      <c r="N493" s="4" t="str">
        <f>VLOOKUP(C493,CHECKS!A:I,9,FALSE)</f>
        <v>#00AE41</v>
      </c>
      <c r="O493" s="4">
        <f>VLOOKUP(C493,CHECKS!A:I,6,FALSE)</f>
        <v>2</v>
      </c>
      <c r="P493" s="4">
        <f>VLOOKUP(C493,CHECKS!A:I,7,FALSE)</f>
        <v>4</v>
      </c>
      <c r="Q493" s="4">
        <f>VLOOKUP(C493,CHECKS!A:I,8,FALSE)</f>
        <v>7</v>
      </c>
      <c r="R493">
        <v>491</v>
      </c>
    </row>
    <row r="494" spans="1:18" x14ac:dyDescent="0.2">
      <c r="A494" s="4">
        <v>4930</v>
      </c>
      <c r="B494" s="2" t="s">
        <v>1825</v>
      </c>
      <c r="C494" s="4" t="s">
        <v>1761</v>
      </c>
      <c r="D494" s="2" t="s">
        <v>1224</v>
      </c>
      <c r="E494" s="2" t="s">
        <v>1826</v>
      </c>
      <c r="F494" s="2" t="s">
        <v>1224</v>
      </c>
      <c r="G494" s="4">
        <f t="shared" si="7"/>
        <v>2</v>
      </c>
      <c r="I494" s="2" t="s">
        <v>1021</v>
      </c>
      <c r="J494" s="2" t="s">
        <v>1941</v>
      </c>
      <c r="L494" s="16">
        <v>48.8945308642</v>
      </c>
      <c r="M494" s="7">
        <v>2.3140646544300001</v>
      </c>
      <c r="N494" s="4" t="str">
        <f>VLOOKUP(C494,CHECKS!A:I,9,FALSE)</f>
        <v>#00AE41</v>
      </c>
      <c r="O494" s="4">
        <f>VLOOKUP(C494,CHECKS!A:I,6,FALSE)</f>
        <v>2</v>
      </c>
      <c r="P494" s="4">
        <f>VLOOKUP(C494,CHECKS!A:I,7,FALSE)</f>
        <v>4</v>
      </c>
      <c r="Q494" s="4">
        <f>VLOOKUP(C494,CHECKS!A:I,8,FALSE)</f>
        <v>7</v>
      </c>
      <c r="R494">
        <v>492</v>
      </c>
    </row>
    <row r="495" spans="1:18" x14ac:dyDescent="0.2">
      <c r="A495" s="4">
        <v>4940</v>
      </c>
      <c r="B495" s="2" t="s">
        <v>1827</v>
      </c>
      <c r="C495" s="4" t="s">
        <v>1761</v>
      </c>
      <c r="D495" s="2" t="s">
        <v>1777</v>
      </c>
      <c r="E495" s="2" t="s">
        <v>1825</v>
      </c>
      <c r="F495" s="2" t="s">
        <v>1777</v>
      </c>
      <c r="G495" s="4">
        <f t="shared" si="7"/>
        <v>1</v>
      </c>
      <c r="J495" s="2" t="s">
        <v>1224</v>
      </c>
      <c r="L495" s="16">
        <v>48.889657434699998</v>
      </c>
      <c r="M495" s="7">
        <v>2.3031046176599999</v>
      </c>
      <c r="N495" s="4" t="str">
        <f>VLOOKUP(C495,CHECKS!A:I,9,FALSE)</f>
        <v>#00AE41</v>
      </c>
      <c r="O495" s="4">
        <f>VLOOKUP(C495,CHECKS!A:I,6,FALSE)</f>
        <v>2</v>
      </c>
      <c r="P495" s="4">
        <f>VLOOKUP(C495,CHECKS!A:I,7,FALSE)</f>
        <v>4</v>
      </c>
      <c r="Q495" s="4">
        <f>VLOOKUP(C495,CHECKS!A:I,8,FALSE)</f>
        <v>7</v>
      </c>
      <c r="R495">
        <v>493</v>
      </c>
    </row>
    <row r="496" spans="1:18" x14ac:dyDescent="0.2">
      <c r="A496" s="4">
        <v>4950</v>
      </c>
      <c r="B496" s="2" t="s">
        <v>2035</v>
      </c>
      <c r="C496" s="4" t="s">
        <v>1942</v>
      </c>
      <c r="D496" s="2" t="s">
        <v>1951</v>
      </c>
      <c r="E496" s="2" t="s">
        <v>2036</v>
      </c>
      <c r="F496" s="2" t="s">
        <v>1951</v>
      </c>
      <c r="G496" s="4">
        <f t="shared" si="7"/>
        <v>1</v>
      </c>
      <c r="J496" s="2" t="s">
        <v>1952</v>
      </c>
      <c r="L496" s="16">
        <v>48.894048284199997</v>
      </c>
      <c r="M496" s="7">
        <v>2.4803488703299998</v>
      </c>
      <c r="N496" s="4" t="str">
        <f>VLOOKUP(C496,CHECKS!A:I,9,FALSE)</f>
        <v>#FED100</v>
      </c>
      <c r="O496" s="4">
        <f>VLOOKUP(C496,CHECKS!A:I,6,FALSE)</f>
        <v>2</v>
      </c>
      <c r="P496" s="4">
        <f>VLOOKUP(C496,CHECKS!A:I,7,FALSE)</f>
        <v>4</v>
      </c>
      <c r="Q496" s="4">
        <f>VLOOKUP(C496,CHECKS!A:I,8,FALSE)</f>
        <v>7</v>
      </c>
      <c r="R496">
        <v>494</v>
      </c>
    </row>
    <row r="497" spans="1:18" x14ac:dyDescent="0.2">
      <c r="A497" s="4">
        <v>4960</v>
      </c>
      <c r="B497" s="2" t="s">
        <v>2036</v>
      </c>
      <c r="C497" s="4" t="s">
        <v>1942</v>
      </c>
      <c r="D497" s="2" t="s">
        <v>1952</v>
      </c>
      <c r="E497" s="2" t="s">
        <v>2037</v>
      </c>
      <c r="F497" s="2" t="s">
        <v>1952</v>
      </c>
      <c r="G497" s="4">
        <f t="shared" si="7"/>
        <v>1</v>
      </c>
      <c r="J497" s="2" t="s">
        <v>2243</v>
      </c>
      <c r="L497" s="16">
        <v>48.893094628599997</v>
      </c>
      <c r="M497" s="7">
        <v>2.4879109876299998</v>
      </c>
      <c r="N497" s="4" t="str">
        <f>VLOOKUP(C497,CHECKS!A:I,9,FALSE)</f>
        <v>#FED100</v>
      </c>
      <c r="O497" s="4">
        <f>VLOOKUP(C497,CHECKS!A:I,6,FALSE)</f>
        <v>2</v>
      </c>
      <c r="P497" s="4">
        <f>VLOOKUP(C497,CHECKS!A:I,7,FALSE)</f>
        <v>4</v>
      </c>
      <c r="Q497" s="4">
        <f>VLOOKUP(C497,CHECKS!A:I,8,FALSE)</f>
        <v>7</v>
      </c>
      <c r="R497">
        <v>495</v>
      </c>
    </row>
    <row r="498" spans="1:18" x14ac:dyDescent="0.2">
      <c r="A498" s="4">
        <v>4970</v>
      </c>
      <c r="B498" s="2" t="s">
        <v>2038</v>
      </c>
      <c r="C498" s="4" t="s">
        <v>1942</v>
      </c>
      <c r="D498" s="2" t="s">
        <v>1953</v>
      </c>
      <c r="E498" s="2" t="s">
        <v>2039</v>
      </c>
      <c r="F498" s="2" t="s">
        <v>1953</v>
      </c>
      <c r="G498" s="4">
        <f t="shared" si="7"/>
        <v>1</v>
      </c>
      <c r="J498" s="2" t="s">
        <v>2249</v>
      </c>
      <c r="L498" s="16">
        <v>48.892504761399998</v>
      </c>
      <c r="M498" s="7">
        <v>2.4993884572899998</v>
      </c>
      <c r="N498" s="4" t="str">
        <f>VLOOKUP(C498,CHECKS!A:I,9,FALSE)</f>
        <v>#FED100</v>
      </c>
      <c r="O498" s="4">
        <f>VLOOKUP(C498,CHECKS!A:I,6,FALSE)</f>
        <v>2</v>
      </c>
      <c r="P498" s="4">
        <f>VLOOKUP(C498,CHECKS!A:I,7,FALSE)</f>
        <v>4</v>
      </c>
      <c r="Q498" s="4">
        <f>VLOOKUP(C498,CHECKS!A:I,8,FALSE)</f>
        <v>7</v>
      </c>
      <c r="R498">
        <v>496</v>
      </c>
    </row>
    <row r="499" spans="1:18" x14ac:dyDescent="0.2">
      <c r="A499" s="4">
        <v>4980</v>
      </c>
      <c r="B499" s="2" t="s">
        <v>2040</v>
      </c>
      <c r="C499" s="4" t="s">
        <v>1942</v>
      </c>
      <c r="D499" s="2" t="s">
        <v>1954</v>
      </c>
      <c r="E499" s="2" t="s">
        <v>2041</v>
      </c>
      <c r="F499" s="2" t="s">
        <v>1954</v>
      </c>
      <c r="G499" s="4">
        <f t="shared" si="7"/>
        <v>1</v>
      </c>
      <c r="J499" s="2" t="s">
        <v>2209</v>
      </c>
      <c r="L499" s="16">
        <v>48.897143818499998</v>
      </c>
      <c r="M499" s="7">
        <v>2.50640824702</v>
      </c>
      <c r="N499" s="4" t="str">
        <f>VLOOKUP(C499,CHECKS!A:I,9,FALSE)</f>
        <v>#FED100</v>
      </c>
      <c r="O499" s="4">
        <f>VLOOKUP(C499,CHECKS!A:I,6,FALSE)</f>
        <v>2</v>
      </c>
      <c r="P499" s="4">
        <f>VLOOKUP(C499,CHECKS!A:I,7,FALSE)</f>
        <v>4</v>
      </c>
      <c r="Q499" s="4">
        <f>VLOOKUP(C499,CHECKS!A:I,8,FALSE)</f>
        <v>7</v>
      </c>
      <c r="R499">
        <v>497</v>
      </c>
    </row>
    <row r="500" spans="1:18" x14ac:dyDescent="0.2">
      <c r="A500" s="4">
        <v>4990</v>
      </c>
      <c r="B500" s="2" t="s">
        <v>2042</v>
      </c>
      <c r="C500" s="4" t="s">
        <v>1942</v>
      </c>
      <c r="D500" s="2" t="s">
        <v>1955</v>
      </c>
      <c r="E500" s="2" t="s">
        <v>2043</v>
      </c>
      <c r="F500" s="2" t="s">
        <v>1955</v>
      </c>
      <c r="G500" s="4">
        <f t="shared" si="7"/>
        <v>1</v>
      </c>
      <c r="J500" s="2" t="s">
        <v>2252</v>
      </c>
      <c r="L500" s="16">
        <v>48.902444190600001</v>
      </c>
      <c r="M500" s="7">
        <v>2.5116993032699999</v>
      </c>
      <c r="N500" s="4" t="str">
        <f>VLOOKUP(C500,CHECKS!A:I,9,FALSE)</f>
        <v>#FED100</v>
      </c>
      <c r="O500" s="4">
        <f>VLOOKUP(C500,CHECKS!A:I,6,FALSE)</f>
        <v>2</v>
      </c>
      <c r="P500" s="4">
        <f>VLOOKUP(C500,CHECKS!A:I,7,FALSE)</f>
        <v>4</v>
      </c>
      <c r="Q500" s="4">
        <f>VLOOKUP(C500,CHECKS!A:I,8,FALSE)</f>
        <v>7</v>
      </c>
      <c r="R500">
        <v>498</v>
      </c>
    </row>
    <row r="501" spans="1:18" x14ac:dyDescent="0.2">
      <c r="A501" s="4">
        <v>5000</v>
      </c>
      <c r="B501" s="2" t="s">
        <v>2044</v>
      </c>
      <c r="C501" s="4" t="s">
        <v>1942</v>
      </c>
      <c r="D501" s="2" t="s">
        <v>1956</v>
      </c>
      <c r="E501" s="2" t="s">
        <v>2045</v>
      </c>
      <c r="F501" s="2" t="s">
        <v>1956</v>
      </c>
      <c r="G501" s="4">
        <f t="shared" si="7"/>
        <v>1</v>
      </c>
      <c r="J501" s="2" t="s">
        <v>2229</v>
      </c>
      <c r="L501" s="16">
        <v>48.908165415200003</v>
      </c>
      <c r="M501" s="7">
        <v>2.5170254953</v>
      </c>
      <c r="N501" s="4" t="str">
        <f>VLOOKUP(C501,CHECKS!A:I,9,FALSE)</f>
        <v>#FED100</v>
      </c>
      <c r="O501" s="4">
        <f>VLOOKUP(C501,CHECKS!A:I,6,FALSE)</f>
        <v>2</v>
      </c>
      <c r="P501" s="4">
        <f>VLOOKUP(C501,CHECKS!A:I,7,FALSE)</f>
        <v>4</v>
      </c>
      <c r="Q501" s="4">
        <f>VLOOKUP(C501,CHECKS!A:I,8,FALSE)</f>
        <v>7</v>
      </c>
      <c r="R501">
        <v>499</v>
      </c>
    </row>
    <row r="502" spans="1:18" x14ac:dyDescent="0.2">
      <c r="A502" s="4">
        <v>5010</v>
      </c>
      <c r="B502" s="2" t="s">
        <v>2046</v>
      </c>
      <c r="C502" s="4" t="s">
        <v>1942</v>
      </c>
      <c r="D502" s="2" t="s">
        <v>1957</v>
      </c>
      <c r="E502" s="2" t="s">
        <v>2047</v>
      </c>
      <c r="F502" s="2" t="s">
        <v>1957</v>
      </c>
      <c r="G502" s="4">
        <f t="shared" si="7"/>
        <v>1</v>
      </c>
      <c r="J502" s="2" t="s">
        <v>2256</v>
      </c>
      <c r="L502" s="16">
        <v>48.916096504099997</v>
      </c>
      <c r="M502" s="7">
        <v>2.5150614461899998</v>
      </c>
      <c r="N502" s="4" t="str">
        <f>VLOOKUP(C502,CHECKS!A:I,9,FALSE)</f>
        <v>#FED100</v>
      </c>
      <c r="O502" s="4">
        <f>VLOOKUP(C502,CHECKS!A:I,6,FALSE)</f>
        <v>2</v>
      </c>
      <c r="P502" s="4">
        <f>VLOOKUP(C502,CHECKS!A:I,7,FALSE)</f>
        <v>4</v>
      </c>
      <c r="Q502" s="4">
        <f>VLOOKUP(C502,CHECKS!A:I,8,FALSE)</f>
        <v>7</v>
      </c>
      <c r="R502">
        <v>500</v>
      </c>
    </row>
    <row r="503" spans="1:18" x14ac:dyDescent="0.2">
      <c r="A503" s="4">
        <v>5020</v>
      </c>
      <c r="B503" s="2" t="s">
        <v>2048</v>
      </c>
      <c r="C503" s="4" t="s">
        <v>1942</v>
      </c>
      <c r="D503" s="2" t="s">
        <v>1958</v>
      </c>
      <c r="E503" s="2" t="s">
        <v>2049</v>
      </c>
      <c r="F503" s="2" t="s">
        <v>1958</v>
      </c>
      <c r="G503" s="4">
        <f t="shared" si="7"/>
        <v>1</v>
      </c>
      <c r="J503" s="2" t="s">
        <v>2244</v>
      </c>
      <c r="L503" s="16">
        <v>48.921926143299999</v>
      </c>
      <c r="M503" s="7">
        <v>2.5164435351700001</v>
      </c>
      <c r="N503" s="4" t="str">
        <f>VLOOKUP(C503,CHECKS!A:I,9,FALSE)</f>
        <v>#FED100</v>
      </c>
      <c r="O503" s="4">
        <f>VLOOKUP(C503,CHECKS!A:I,6,FALSE)</f>
        <v>2</v>
      </c>
      <c r="P503" s="4">
        <f>VLOOKUP(C503,CHECKS!A:I,7,FALSE)</f>
        <v>4</v>
      </c>
      <c r="Q503" s="4">
        <f>VLOOKUP(C503,CHECKS!A:I,8,FALSE)</f>
        <v>7</v>
      </c>
      <c r="R503">
        <v>501</v>
      </c>
    </row>
    <row r="504" spans="1:18" x14ac:dyDescent="0.2">
      <c r="A504" s="4">
        <v>5030</v>
      </c>
      <c r="B504" s="2" t="s">
        <v>2050</v>
      </c>
      <c r="C504" s="4" t="s">
        <v>1942</v>
      </c>
      <c r="D504" s="2" t="s">
        <v>1959</v>
      </c>
      <c r="E504" s="2" t="s">
        <v>2051</v>
      </c>
      <c r="F504" s="2" t="s">
        <v>1959</v>
      </c>
      <c r="G504" s="4">
        <f t="shared" si="7"/>
        <v>1</v>
      </c>
      <c r="J504" s="2" t="s">
        <v>2228</v>
      </c>
      <c r="L504" s="16">
        <v>48.926640202000002</v>
      </c>
      <c r="M504" s="7">
        <v>2.51910376383</v>
      </c>
      <c r="N504" s="4" t="str">
        <f>VLOOKUP(C504,CHECKS!A:I,9,FALSE)</f>
        <v>#FED100</v>
      </c>
      <c r="O504" s="4">
        <f>VLOOKUP(C504,CHECKS!A:I,6,FALSE)</f>
        <v>2</v>
      </c>
      <c r="P504" s="4">
        <f>VLOOKUP(C504,CHECKS!A:I,7,FALSE)</f>
        <v>4</v>
      </c>
      <c r="Q504" s="4">
        <f>VLOOKUP(C504,CHECKS!A:I,8,FALSE)</f>
        <v>7</v>
      </c>
      <c r="R504">
        <v>502</v>
      </c>
    </row>
    <row r="505" spans="1:18" x14ac:dyDescent="0.2">
      <c r="A505" s="4">
        <v>5040</v>
      </c>
      <c r="B505" s="2" t="s">
        <v>2052</v>
      </c>
      <c r="C505" s="4" t="s">
        <v>1942</v>
      </c>
      <c r="D505" s="2" t="s">
        <v>1960</v>
      </c>
      <c r="E505" s="2" t="s">
        <v>2053</v>
      </c>
      <c r="F505" s="2" t="s">
        <v>1960</v>
      </c>
      <c r="G505" s="4">
        <f t="shared" si="7"/>
        <v>1</v>
      </c>
      <c r="J505" s="2" t="s">
        <v>2278</v>
      </c>
      <c r="L505" s="16">
        <v>48.930934182999998</v>
      </c>
      <c r="M505" s="7">
        <v>2.5150496624200001</v>
      </c>
      <c r="N505" s="4" t="str">
        <f>VLOOKUP(C505,CHECKS!A:I,9,FALSE)</f>
        <v>#FED100</v>
      </c>
      <c r="O505" s="4">
        <f>VLOOKUP(C505,CHECKS!A:I,6,FALSE)</f>
        <v>2</v>
      </c>
      <c r="P505" s="4">
        <f>VLOOKUP(C505,CHECKS!A:I,7,FALSE)</f>
        <v>4</v>
      </c>
      <c r="Q505" s="4">
        <f>VLOOKUP(C505,CHECKS!A:I,8,FALSE)</f>
        <v>7</v>
      </c>
      <c r="R505">
        <v>503</v>
      </c>
    </row>
    <row r="506" spans="1:18" x14ac:dyDescent="0.2">
      <c r="A506" s="4">
        <v>5050</v>
      </c>
      <c r="B506" s="2" t="s">
        <v>2054</v>
      </c>
      <c r="C506" s="4" t="s">
        <v>1942</v>
      </c>
      <c r="D506" s="2" t="s">
        <v>1961</v>
      </c>
      <c r="E506" s="2" t="s">
        <v>2052</v>
      </c>
      <c r="F506" s="2" t="s">
        <v>1961</v>
      </c>
      <c r="G506" s="4">
        <f t="shared" si="7"/>
        <v>2</v>
      </c>
      <c r="I506" s="2" t="s">
        <v>2491</v>
      </c>
      <c r="J506" s="2" t="s">
        <v>1960</v>
      </c>
      <c r="L506" s="16">
        <v>48.931950242399999</v>
      </c>
      <c r="M506" s="7">
        <v>2.4962382812000001</v>
      </c>
      <c r="N506" s="4" t="str">
        <f>VLOOKUP(C506,CHECKS!A:I,9,FALSE)</f>
        <v>#FED100</v>
      </c>
      <c r="O506" s="4">
        <f>VLOOKUP(C506,CHECKS!A:I,6,FALSE)</f>
        <v>2</v>
      </c>
      <c r="P506" s="4">
        <f>VLOOKUP(C506,CHECKS!A:I,7,FALSE)</f>
        <v>4</v>
      </c>
      <c r="Q506" s="4">
        <f>VLOOKUP(C506,CHECKS!A:I,8,FALSE)</f>
        <v>7</v>
      </c>
      <c r="R506">
        <v>504</v>
      </c>
    </row>
    <row r="507" spans="1:18" x14ac:dyDescent="0.2">
      <c r="A507" s="4">
        <v>5060</v>
      </c>
      <c r="B507" s="2" t="s">
        <v>2055</v>
      </c>
      <c r="C507" s="4" t="s">
        <v>1943</v>
      </c>
      <c r="D507" s="2" t="s">
        <v>1537</v>
      </c>
      <c r="E507" s="2" t="s">
        <v>2056</v>
      </c>
      <c r="F507" s="2" t="s">
        <v>1537</v>
      </c>
      <c r="G507" s="4">
        <f t="shared" si="7"/>
        <v>2</v>
      </c>
      <c r="H507" s="2" t="s">
        <v>1570</v>
      </c>
      <c r="J507" s="2" t="s">
        <v>1962</v>
      </c>
      <c r="K507" s="2" t="s">
        <v>1537</v>
      </c>
      <c r="L507" s="16">
        <v>48.938950157800001</v>
      </c>
      <c r="M507" s="7">
        <v>2.3563218674200002</v>
      </c>
      <c r="N507" s="4" t="str">
        <f>VLOOKUP(C507,CHECKS!A:I,9,FALSE)</f>
        <v>#62259D</v>
      </c>
      <c r="O507" s="4">
        <f>VLOOKUP(C507,CHECKS!A:I,6,FALSE)</f>
        <v>1.47</v>
      </c>
      <c r="P507" s="4">
        <f>VLOOKUP(C507,CHECKS!A:I,7,FALSE)</f>
        <v>4</v>
      </c>
      <c r="Q507" s="4">
        <f>VLOOKUP(C507,CHECKS!A:I,8,FALSE)</f>
        <v>7</v>
      </c>
      <c r="R507">
        <v>505</v>
      </c>
    </row>
    <row r="508" spans="1:18" x14ac:dyDescent="0.2">
      <c r="A508" s="4">
        <v>5070</v>
      </c>
      <c r="B508" s="2" t="s">
        <v>2056</v>
      </c>
      <c r="C508" s="4" t="s">
        <v>1943</v>
      </c>
      <c r="D508" s="2" t="s">
        <v>1962</v>
      </c>
      <c r="E508" s="2" t="s">
        <v>2057</v>
      </c>
      <c r="F508" s="2" t="s">
        <v>1962</v>
      </c>
      <c r="G508" s="4">
        <f t="shared" si="7"/>
        <v>1</v>
      </c>
      <c r="J508" s="2" t="s">
        <v>2212</v>
      </c>
      <c r="L508" s="16">
        <v>48.942125455099998</v>
      </c>
      <c r="M508" s="7">
        <v>2.3567297415300001</v>
      </c>
      <c r="N508" s="4" t="str">
        <f>VLOOKUP(C508,CHECKS!A:I,9,FALSE)</f>
        <v>#62259D</v>
      </c>
      <c r="O508" s="4">
        <f>VLOOKUP(C508,CHECKS!A:I,6,FALSE)</f>
        <v>1.47</v>
      </c>
      <c r="P508" s="4">
        <f>VLOOKUP(C508,CHECKS!A:I,7,FALSE)</f>
        <v>4</v>
      </c>
      <c r="Q508" s="4">
        <f>VLOOKUP(C508,CHECKS!A:I,8,FALSE)</f>
        <v>7</v>
      </c>
      <c r="R508">
        <v>506</v>
      </c>
    </row>
    <row r="509" spans="1:18" x14ac:dyDescent="0.2">
      <c r="A509" s="4">
        <v>5080</v>
      </c>
      <c r="B509" s="2" t="s">
        <v>2058</v>
      </c>
      <c r="C509" s="4" t="s">
        <v>1943</v>
      </c>
      <c r="D509" s="2" t="s">
        <v>1963</v>
      </c>
      <c r="E509" s="2" t="s">
        <v>2059</v>
      </c>
      <c r="F509" s="2" t="s">
        <v>1963</v>
      </c>
      <c r="G509" s="4">
        <f t="shared" si="7"/>
        <v>1</v>
      </c>
      <c r="J509" s="2" t="s">
        <v>2276</v>
      </c>
      <c r="L509" s="16">
        <v>48.944818932700002</v>
      </c>
      <c r="M509" s="7">
        <v>2.3570063551099998</v>
      </c>
      <c r="N509" s="4" t="str">
        <f>VLOOKUP(C509,CHECKS!A:I,9,FALSE)</f>
        <v>#62259D</v>
      </c>
      <c r="O509" s="4">
        <f>VLOOKUP(C509,CHECKS!A:I,6,FALSE)</f>
        <v>1.47</v>
      </c>
      <c r="P509" s="4">
        <f>VLOOKUP(C509,CHECKS!A:I,7,FALSE)</f>
        <v>4</v>
      </c>
      <c r="Q509" s="4">
        <f>VLOOKUP(C509,CHECKS!A:I,8,FALSE)</f>
        <v>7</v>
      </c>
      <c r="R509">
        <v>507</v>
      </c>
    </row>
    <row r="510" spans="1:18" x14ac:dyDescent="0.2">
      <c r="A510" s="4">
        <v>5090</v>
      </c>
      <c r="B510" s="2" t="s">
        <v>2060</v>
      </c>
      <c r="C510" s="4" t="s">
        <v>1943</v>
      </c>
      <c r="D510" s="2" t="s">
        <v>1964</v>
      </c>
      <c r="E510" s="2" t="s">
        <v>2061</v>
      </c>
      <c r="F510" s="2" t="s">
        <v>1964</v>
      </c>
      <c r="G510" s="4">
        <f t="shared" si="7"/>
        <v>1</v>
      </c>
      <c r="J510" s="2" t="s">
        <v>2233</v>
      </c>
      <c r="L510" s="16">
        <v>48.948208128499999</v>
      </c>
      <c r="M510" s="7">
        <v>2.3574615262599998</v>
      </c>
      <c r="N510" s="4" t="str">
        <f>VLOOKUP(C510,CHECKS!A:I,9,FALSE)</f>
        <v>#62259D</v>
      </c>
      <c r="O510" s="4">
        <f>VLOOKUP(C510,CHECKS!A:I,6,FALSE)</f>
        <v>1.47</v>
      </c>
      <c r="P510" s="4">
        <f>VLOOKUP(C510,CHECKS!A:I,7,FALSE)</f>
        <v>4</v>
      </c>
      <c r="Q510" s="4">
        <f>VLOOKUP(C510,CHECKS!A:I,8,FALSE)</f>
        <v>7</v>
      </c>
      <c r="R510">
        <v>508</v>
      </c>
    </row>
    <row r="511" spans="1:18" x14ac:dyDescent="0.2">
      <c r="A511" s="4">
        <v>5100</v>
      </c>
      <c r="B511" s="2" t="s">
        <v>2062</v>
      </c>
      <c r="C511" s="4" t="s">
        <v>1943</v>
      </c>
      <c r="D511" s="2" t="s">
        <v>1965</v>
      </c>
      <c r="E511" s="2" t="s">
        <v>2063</v>
      </c>
      <c r="F511" s="2" t="s">
        <v>1965</v>
      </c>
      <c r="G511" s="4">
        <f t="shared" si="7"/>
        <v>1</v>
      </c>
      <c r="J511" s="2" t="s">
        <v>2268</v>
      </c>
      <c r="L511" s="16">
        <v>48.952637882600001</v>
      </c>
      <c r="M511" s="7">
        <v>2.35797833108</v>
      </c>
      <c r="N511" s="4" t="str">
        <f>VLOOKUP(C511,CHECKS!A:I,9,FALSE)</f>
        <v>#62259D</v>
      </c>
      <c r="O511" s="4">
        <f>VLOOKUP(C511,CHECKS!A:I,6,FALSE)</f>
        <v>1.47</v>
      </c>
      <c r="P511" s="4">
        <f>VLOOKUP(C511,CHECKS!A:I,7,FALSE)</f>
        <v>4</v>
      </c>
      <c r="Q511" s="4">
        <f>VLOOKUP(C511,CHECKS!A:I,8,FALSE)</f>
        <v>7</v>
      </c>
      <c r="R511">
        <v>509</v>
      </c>
    </row>
    <row r="512" spans="1:18" x14ac:dyDescent="0.2">
      <c r="A512" s="4">
        <v>5110</v>
      </c>
      <c r="B512" s="2" t="s">
        <v>2064</v>
      </c>
      <c r="C512" s="4" t="s">
        <v>1943</v>
      </c>
      <c r="D512" s="2" t="s">
        <v>1966</v>
      </c>
      <c r="E512" s="2" t="s">
        <v>2065</v>
      </c>
      <c r="F512" s="2" t="s">
        <v>1966</v>
      </c>
      <c r="G512" s="4">
        <f t="shared" si="7"/>
        <v>1</v>
      </c>
      <c r="J512" s="2" t="s">
        <v>2240</v>
      </c>
      <c r="L512" s="16">
        <v>48.955576348000001</v>
      </c>
      <c r="M512" s="7">
        <v>2.35832285615</v>
      </c>
      <c r="N512" s="4" t="str">
        <f>VLOOKUP(C512,CHECKS!A:I,9,FALSE)</f>
        <v>#62259D</v>
      </c>
      <c r="O512" s="4">
        <f>VLOOKUP(C512,CHECKS!A:I,6,FALSE)</f>
        <v>1.47</v>
      </c>
      <c r="P512" s="4">
        <f>VLOOKUP(C512,CHECKS!A:I,7,FALSE)</f>
        <v>4</v>
      </c>
      <c r="Q512" s="4">
        <f>VLOOKUP(C512,CHECKS!A:I,8,FALSE)</f>
        <v>7</v>
      </c>
      <c r="R512">
        <v>510</v>
      </c>
    </row>
    <row r="513" spans="1:18" x14ac:dyDescent="0.2">
      <c r="A513" s="4">
        <v>5120</v>
      </c>
      <c r="B513" s="2" t="s">
        <v>2066</v>
      </c>
      <c r="C513" s="4" t="s">
        <v>1943</v>
      </c>
      <c r="D513" s="2" t="s">
        <v>1967</v>
      </c>
      <c r="E513" s="2" t="s">
        <v>2067</v>
      </c>
      <c r="F513" s="2" t="s">
        <v>1967</v>
      </c>
      <c r="G513" s="4">
        <f t="shared" si="7"/>
        <v>1</v>
      </c>
      <c r="J513" s="2" t="s">
        <v>2283</v>
      </c>
      <c r="L513" s="16">
        <v>48.959121098300002</v>
      </c>
      <c r="M513" s="7">
        <v>2.3587425044799999</v>
      </c>
      <c r="N513" s="4" t="str">
        <f>VLOOKUP(C513,CHECKS!A:I,9,FALSE)</f>
        <v>#62259D</v>
      </c>
      <c r="O513" s="4">
        <f>VLOOKUP(C513,CHECKS!A:I,6,FALSE)</f>
        <v>1.47</v>
      </c>
      <c r="P513" s="4">
        <f>VLOOKUP(C513,CHECKS!A:I,7,FALSE)</f>
        <v>4</v>
      </c>
      <c r="Q513" s="4">
        <f>VLOOKUP(C513,CHECKS!A:I,8,FALSE)</f>
        <v>7</v>
      </c>
      <c r="R513">
        <v>511</v>
      </c>
    </row>
    <row r="514" spans="1:18" x14ac:dyDescent="0.2">
      <c r="A514" s="4">
        <v>5130</v>
      </c>
      <c r="B514" s="2" t="s">
        <v>2068</v>
      </c>
      <c r="C514" s="4" t="s">
        <v>1943</v>
      </c>
      <c r="D514" s="2" t="s">
        <v>1968</v>
      </c>
      <c r="E514" s="2" t="s">
        <v>2069</v>
      </c>
      <c r="F514" s="2" t="s">
        <v>1968</v>
      </c>
      <c r="G514" s="4">
        <f t="shared" ref="G514:G577" si="8">COUNTIF(F:F,F514)</f>
        <v>1</v>
      </c>
      <c r="J514" s="2" t="s">
        <v>2258</v>
      </c>
      <c r="L514" s="16">
        <v>48.963517946400003</v>
      </c>
      <c r="M514" s="7">
        <v>2.3602507586499999</v>
      </c>
      <c r="N514" s="4" t="str">
        <f>VLOOKUP(C514,CHECKS!A:I,9,FALSE)</f>
        <v>#62259D</v>
      </c>
      <c r="O514" s="4">
        <f>VLOOKUP(C514,CHECKS!A:I,6,FALSE)</f>
        <v>1.47</v>
      </c>
      <c r="P514" s="4">
        <f>VLOOKUP(C514,CHECKS!A:I,7,FALSE)</f>
        <v>4</v>
      </c>
      <c r="Q514" s="4">
        <f>VLOOKUP(C514,CHECKS!A:I,8,FALSE)</f>
        <v>7</v>
      </c>
      <c r="R514">
        <v>512</v>
      </c>
    </row>
    <row r="515" spans="1:18" x14ac:dyDescent="0.2">
      <c r="A515" s="4">
        <v>5140</v>
      </c>
      <c r="B515" s="2" t="s">
        <v>2070</v>
      </c>
      <c r="C515" s="4" t="s">
        <v>1943</v>
      </c>
      <c r="D515" s="2" t="s">
        <v>1969</v>
      </c>
      <c r="E515" s="2" t="s">
        <v>2071</v>
      </c>
      <c r="F515" s="2" t="s">
        <v>1969</v>
      </c>
      <c r="G515" s="4">
        <f t="shared" si="8"/>
        <v>1</v>
      </c>
      <c r="J515" s="2" t="s">
        <v>2207</v>
      </c>
      <c r="L515" s="16">
        <v>48.965855574400003</v>
      </c>
      <c r="M515" s="7">
        <v>2.3635722239699999</v>
      </c>
      <c r="N515" s="4" t="str">
        <f>VLOOKUP(C515,CHECKS!A:I,9,FALSE)</f>
        <v>#62259D</v>
      </c>
      <c r="O515" s="4">
        <f>VLOOKUP(C515,CHECKS!A:I,6,FALSE)</f>
        <v>1.47</v>
      </c>
      <c r="P515" s="4">
        <f>VLOOKUP(C515,CHECKS!A:I,7,FALSE)</f>
        <v>4</v>
      </c>
      <c r="Q515" s="4">
        <f>VLOOKUP(C515,CHECKS!A:I,8,FALSE)</f>
        <v>7</v>
      </c>
      <c r="R515">
        <v>513</v>
      </c>
    </row>
    <row r="516" spans="1:18" x14ac:dyDescent="0.2">
      <c r="A516" s="4">
        <v>5150</v>
      </c>
      <c r="B516" s="2" t="s">
        <v>2072</v>
      </c>
      <c r="C516" s="4" t="s">
        <v>1943</v>
      </c>
      <c r="D516" s="2" t="s">
        <v>1970</v>
      </c>
      <c r="E516" s="2" t="s">
        <v>2073</v>
      </c>
      <c r="F516" s="2" t="s">
        <v>1970</v>
      </c>
      <c r="G516" s="4">
        <f t="shared" si="8"/>
        <v>1</v>
      </c>
      <c r="J516" s="2" t="s">
        <v>2237</v>
      </c>
      <c r="L516" s="16">
        <v>48.970883404200002</v>
      </c>
      <c r="M516" s="7">
        <v>2.3660038891099999</v>
      </c>
      <c r="N516" s="4" t="str">
        <f>VLOOKUP(C516,CHECKS!A:I,9,FALSE)</f>
        <v>#62259D</v>
      </c>
      <c r="O516" s="4">
        <f>VLOOKUP(C516,CHECKS!A:I,6,FALSE)</f>
        <v>1.47</v>
      </c>
      <c r="P516" s="4">
        <f>VLOOKUP(C516,CHECKS!A:I,7,FALSE)</f>
        <v>4</v>
      </c>
      <c r="Q516" s="4">
        <f>VLOOKUP(C516,CHECKS!A:I,8,FALSE)</f>
        <v>7</v>
      </c>
      <c r="R516">
        <v>514</v>
      </c>
    </row>
    <row r="517" spans="1:18" x14ac:dyDescent="0.2">
      <c r="A517" s="4">
        <v>5160</v>
      </c>
      <c r="B517" s="2" t="s">
        <v>2074</v>
      </c>
      <c r="C517" s="4" t="s">
        <v>1943</v>
      </c>
      <c r="D517" s="2" t="s">
        <v>1971</v>
      </c>
      <c r="E517" s="2" t="s">
        <v>2075</v>
      </c>
      <c r="F517" s="2" t="s">
        <v>1971</v>
      </c>
      <c r="G517" s="4">
        <f t="shared" si="8"/>
        <v>1</v>
      </c>
      <c r="J517" s="2" t="s">
        <v>2215</v>
      </c>
      <c r="L517" s="16">
        <v>48.973659013000002</v>
      </c>
      <c r="M517" s="7">
        <v>2.3660517156799998</v>
      </c>
      <c r="N517" s="4" t="str">
        <f>VLOOKUP(C517,CHECKS!A:I,9,FALSE)</f>
        <v>#62259D</v>
      </c>
      <c r="O517" s="4">
        <f>VLOOKUP(C517,CHECKS!A:I,6,FALSE)</f>
        <v>1.47</v>
      </c>
      <c r="P517" s="4">
        <f>VLOOKUP(C517,CHECKS!A:I,7,FALSE)</f>
        <v>4</v>
      </c>
      <c r="Q517" s="4">
        <f>VLOOKUP(C517,CHECKS!A:I,8,FALSE)</f>
        <v>7</v>
      </c>
      <c r="R517">
        <v>515</v>
      </c>
    </row>
    <row r="518" spans="1:18" x14ac:dyDescent="0.2">
      <c r="A518" s="4">
        <v>5170</v>
      </c>
      <c r="B518" s="2" t="s">
        <v>2076</v>
      </c>
      <c r="C518" s="4" t="s">
        <v>1943</v>
      </c>
      <c r="D518" s="2" t="s">
        <v>1972</v>
      </c>
      <c r="E518" s="2" t="s">
        <v>2077</v>
      </c>
      <c r="F518" s="2" t="s">
        <v>1972</v>
      </c>
      <c r="G518" s="4">
        <f t="shared" si="8"/>
        <v>1</v>
      </c>
      <c r="J518" s="2" t="s">
        <v>2248</v>
      </c>
      <c r="L518" s="16">
        <v>48.977493090000003</v>
      </c>
      <c r="M518" s="7">
        <v>2.37224292371</v>
      </c>
      <c r="N518" s="4" t="str">
        <f>VLOOKUP(C518,CHECKS!A:I,9,FALSE)</f>
        <v>#62259D</v>
      </c>
      <c r="O518" s="4">
        <f>VLOOKUP(C518,CHECKS!A:I,6,FALSE)</f>
        <v>1.47</v>
      </c>
      <c r="P518" s="4">
        <f>VLOOKUP(C518,CHECKS!A:I,7,FALSE)</f>
        <v>4</v>
      </c>
      <c r="Q518" s="4">
        <f>VLOOKUP(C518,CHECKS!A:I,8,FALSE)</f>
        <v>7</v>
      </c>
      <c r="R518">
        <v>516</v>
      </c>
    </row>
    <row r="519" spans="1:18" x14ac:dyDescent="0.2">
      <c r="A519" s="4">
        <v>5180</v>
      </c>
      <c r="B519" s="2" t="s">
        <v>2078</v>
      </c>
      <c r="C519" s="4" t="s">
        <v>1943</v>
      </c>
      <c r="D519" s="2" t="s">
        <v>1973</v>
      </c>
      <c r="E519" s="2" t="s">
        <v>2079</v>
      </c>
      <c r="F519" s="2" t="s">
        <v>1973</v>
      </c>
      <c r="G519" s="4">
        <f t="shared" si="8"/>
        <v>1</v>
      </c>
      <c r="J519" s="2" t="s">
        <v>2250</v>
      </c>
      <c r="L519" s="16">
        <v>48.976665691400001</v>
      </c>
      <c r="M519" s="7">
        <v>2.3774196733099999</v>
      </c>
      <c r="N519" s="4" t="str">
        <f>VLOOKUP(C519,CHECKS!A:I,9,FALSE)</f>
        <v>#62259D</v>
      </c>
      <c r="O519" s="4">
        <f>VLOOKUP(C519,CHECKS!A:I,6,FALSE)</f>
        <v>1.47</v>
      </c>
      <c r="P519" s="4">
        <f>VLOOKUP(C519,CHECKS!A:I,7,FALSE)</f>
        <v>4</v>
      </c>
      <c r="Q519" s="4">
        <f>VLOOKUP(C519,CHECKS!A:I,8,FALSE)</f>
        <v>7</v>
      </c>
      <c r="R519">
        <v>517</v>
      </c>
    </row>
    <row r="520" spans="1:18" x14ac:dyDescent="0.2">
      <c r="A520" s="4">
        <v>5190</v>
      </c>
      <c r="B520" s="2" t="s">
        <v>2080</v>
      </c>
      <c r="C520" s="4" t="s">
        <v>1943</v>
      </c>
      <c r="D520" s="2" t="s">
        <v>1974</v>
      </c>
      <c r="E520" s="2" t="s">
        <v>2081</v>
      </c>
      <c r="F520" s="2" t="s">
        <v>1974</v>
      </c>
      <c r="G520" s="4">
        <f t="shared" si="8"/>
        <v>1</v>
      </c>
      <c r="J520" s="2" t="s">
        <v>2266</v>
      </c>
      <c r="L520" s="16">
        <v>48.9792761263</v>
      </c>
      <c r="M520" s="7">
        <v>2.3802042543300002</v>
      </c>
      <c r="N520" s="4" t="str">
        <f>VLOOKUP(C520,CHECKS!A:I,9,FALSE)</f>
        <v>#62259D</v>
      </c>
      <c r="O520" s="4">
        <f>VLOOKUP(C520,CHECKS!A:I,6,FALSE)</f>
        <v>1.47</v>
      </c>
      <c r="P520" s="4">
        <f>VLOOKUP(C520,CHECKS!A:I,7,FALSE)</f>
        <v>4</v>
      </c>
      <c r="Q520" s="4">
        <f>VLOOKUP(C520,CHECKS!A:I,8,FALSE)</f>
        <v>7</v>
      </c>
      <c r="R520">
        <v>518</v>
      </c>
    </row>
    <row r="521" spans="1:18" x14ac:dyDescent="0.2">
      <c r="A521" s="4">
        <v>5200</v>
      </c>
      <c r="B521" s="2" t="s">
        <v>2082</v>
      </c>
      <c r="C521" s="4" t="s">
        <v>1943</v>
      </c>
      <c r="D521" s="2" t="s">
        <v>1975</v>
      </c>
      <c r="E521" s="2" t="s">
        <v>2083</v>
      </c>
      <c r="F521" s="2" t="s">
        <v>1975</v>
      </c>
      <c r="G521" s="4">
        <f t="shared" si="8"/>
        <v>1</v>
      </c>
      <c r="J521" s="2" t="s">
        <v>2253</v>
      </c>
      <c r="L521" s="16">
        <v>48.9785246243</v>
      </c>
      <c r="M521" s="7">
        <v>2.3850491920099999</v>
      </c>
      <c r="N521" s="4" t="str">
        <f>VLOOKUP(C521,CHECKS!A:I,9,FALSE)</f>
        <v>#62259D</v>
      </c>
      <c r="O521" s="4">
        <f>VLOOKUP(C521,CHECKS!A:I,6,FALSE)</f>
        <v>1.47</v>
      </c>
      <c r="P521" s="4">
        <f>VLOOKUP(C521,CHECKS!A:I,7,FALSE)</f>
        <v>4</v>
      </c>
      <c r="Q521" s="4">
        <f>VLOOKUP(C521,CHECKS!A:I,8,FALSE)</f>
        <v>7</v>
      </c>
      <c r="R521">
        <v>519</v>
      </c>
    </row>
    <row r="522" spans="1:18" x14ac:dyDescent="0.2">
      <c r="A522" s="4">
        <v>5210</v>
      </c>
      <c r="B522" s="2" t="s">
        <v>2084</v>
      </c>
      <c r="C522" s="4" t="s">
        <v>1943</v>
      </c>
      <c r="D522" s="2" t="s">
        <v>1976</v>
      </c>
      <c r="E522" s="2" t="s">
        <v>2082</v>
      </c>
      <c r="F522" s="2" t="s">
        <v>1976</v>
      </c>
      <c r="G522" s="4">
        <f t="shared" si="8"/>
        <v>1</v>
      </c>
      <c r="J522" s="2" t="s">
        <v>1975</v>
      </c>
      <c r="L522" s="16">
        <v>48.977160715499998</v>
      </c>
      <c r="M522" s="7">
        <v>2.3906748809299998</v>
      </c>
      <c r="N522" s="4" t="str">
        <f>VLOOKUP(C522,CHECKS!A:I,9,FALSE)</f>
        <v>#62259D</v>
      </c>
      <c r="O522" s="4">
        <f>VLOOKUP(C522,CHECKS!A:I,6,FALSE)</f>
        <v>1.47</v>
      </c>
      <c r="P522" s="4">
        <f>VLOOKUP(C522,CHECKS!A:I,7,FALSE)</f>
        <v>4</v>
      </c>
      <c r="Q522" s="4">
        <f>VLOOKUP(C522,CHECKS!A:I,8,FALSE)</f>
        <v>7</v>
      </c>
      <c r="R522">
        <v>520</v>
      </c>
    </row>
    <row r="523" spans="1:18" x14ac:dyDescent="0.2">
      <c r="A523" s="4">
        <v>5220</v>
      </c>
      <c r="B523" s="2" t="s">
        <v>2085</v>
      </c>
      <c r="C523" s="4" t="s">
        <v>1944</v>
      </c>
      <c r="D523" s="2" t="s">
        <v>1977</v>
      </c>
      <c r="E523" s="2" t="s">
        <v>2086</v>
      </c>
      <c r="F523" s="2" t="s">
        <v>1977</v>
      </c>
      <c r="G523" s="4">
        <f t="shared" si="8"/>
        <v>1</v>
      </c>
      <c r="J523" s="2" t="s">
        <v>1978</v>
      </c>
      <c r="L523" s="16">
        <v>48.805704154899999</v>
      </c>
      <c r="M523" s="7">
        <v>2.1690700494300001</v>
      </c>
      <c r="N523" s="4" t="str">
        <f>VLOOKUP(C523,CHECKS!A:I,9,FALSE)</f>
        <v>#E2231A</v>
      </c>
      <c r="O523" s="4">
        <f>VLOOKUP(C523,CHECKS!A:I,6,FALSE)</f>
        <v>2</v>
      </c>
      <c r="P523" s="4">
        <f>VLOOKUP(C523,CHECKS!A:I,7,FALSE)</f>
        <v>4</v>
      </c>
      <c r="Q523" s="4">
        <f>VLOOKUP(C523,CHECKS!A:I,8,FALSE)</f>
        <v>7</v>
      </c>
      <c r="R523">
        <v>521</v>
      </c>
    </row>
    <row r="524" spans="1:18" x14ac:dyDescent="0.2">
      <c r="A524" s="4">
        <v>5230</v>
      </c>
      <c r="B524" s="2" t="s">
        <v>2086</v>
      </c>
      <c r="C524" s="4" t="s">
        <v>1944</v>
      </c>
      <c r="D524" s="2" t="s">
        <v>1978</v>
      </c>
      <c r="E524" s="2" t="s">
        <v>2087</v>
      </c>
      <c r="F524" s="2" t="s">
        <v>1978</v>
      </c>
      <c r="G524" s="4">
        <f t="shared" si="8"/>
        <v>1</v>
      </c>
      <c r="J524" s="2" t="s">
        <v>2287</v>
      </c>
      <c r="L524" s="16">
        <v>48.801077611399997</v>
      </c>
      <c r="M524" s="7">
        <v>2.17096740108</v>
      </c>
      <c r="N524" s="4" t="str">
        <f>VLOOKUP(C524,CHECKS!A:I,9,FALSE)</f>
        <v>#E2231A</v>
      </c>
      <c r="O524" s="4">
        <f>VLOOKUP(C524,CHECKS!A:I,6,FALSE)</f>
        <v>2</v>
      </c>
      <c r="P524" s="4">
        <f>VLOOKUP(C524,CHECKS!A:I,7,FALSE)</f>
        <v>4</v>
      </c>
      <c r="Q524" s="4">
        <f>VLOOKUP(C524,CHECKS!A:I,8,FALSE)</f>
        <v>7</v>
      </c>
      <c r="R524">
        <v>522</v>
      </c>
    </row>
    <row r="525" spans="1:18" x14ac:dyDescent="0.2">
      <c r="A525" s="4">
        <v>5240</v>
      </c>
      <c r="B525" s="2" t="s">
        <v>2088</v>
      </c>
      <c r="C525" s="4" t="s">
        <v>1944</v>
      </c>
      <c r="D525" s="2" t="s">
        <v>1979</v>
      </c>
      <c r="E525" s="2" t="s">
        <v>2089</v>
      </c>
      <c r="F525" s="2" t="s">
        <v>1979</v>
      </c>
      <c r="G525" s="4">
        <f t="shared" si="8"/>
        <v>1</v>
      </c>
      <c r="J525" s="2" t="s">
        <v>2275</v>
      </c>
      <c r="L525" s="16">
        <v>48.785121413299997</v>
      </c>
      <c r="M525" s="7">
        <v>2.17879859027</v>
      </c>
      <c r="N525" s="4" t="str">
        <f>VLOOKUP(C525,CHECKS!A:I,9,FALSE)</f>
        <v>#E2231A</v>
      </c>
      <c r="O525" s="4">
        <f>VLOOKUP(C525,CHECKS!A:I,6,FALSE)</f>
        <v>2</v>
      </c>
      <c r="P525" s="4">
        <f>VLOOKUP(C525,CHECKS!A:I,7,FALSE)</f>
        <v>4</v>
      </c>
      <c r="Q525" s="4">
        <f>VLOOKUP(C525,CHECKS!A:I,8,FALSE)</f>
        <v>7</v>
      </c>
      <c r="R525">
        <v>523</v>
      </c>
    </row>
    <row r="526" spans="1:18" x14ac:dyDescent="0.2">
      <c r="A526" s="4">
        <v>5250</v>
      </c>
      <c r="B526" s="2" t="s">
        <v>2090</v>
      </c>
      <c r="C526" s="4" t="s">
        <v>1944</v>
      </c>
      <c r="D526" s="2" t="s">
        <v>1980</v>
      </c>
      <c r="E526" s="2" t="s">
        <v>2091</v>
      </c>
      <c r="F526" s="2" t="s">
        <v>1980</v>
      </c>
      <c r="G526" s="4">
        <f t="shared" si="8"/>
        <v>1</v>
      </c>
      <c r="J526" s="2" t="s">
        <v>2254</v>
      </c>
      <c r="L526" s="16">
        <v>48.781986672499997</v>
      </c>
      <c r="M526" s="7">
        <v>2.1804937509300002</v>
      </c>
      <c r="N526" s="4" t="str">
        <f>VLOOKUP(C526,CHECKS!A:I,9,FALSE)</f>
        <v>#E2231A</v>
      </c>
      <c r="O526" s="4">
        <f>VLOOKUP(C526,CHECKS!A:I,6,FALSE)</f>
        <v>2</v>
      </c>
      <c r="P526" s="4">
        <f>VLOOKUP(C526,CHECKS!A:I,7,FALSE)</f>
        <v>4</v>
      </c>
      <c r="Q526" s="4">
        <f>VLOOKUP(C526,CHECKS!A:I,8,FALSE)</f>
        <v>7</v>
      </c>
      <c r="R526">
        <v>524</v>
      </c>
    </row>
    <row r="527" spans="1:18" x14ac:dyDescent="0.2">
      <c r="A527" s="4">
        <v>5260</v>
      </c>
      <c r="B527" s="2" t="s">
        <v>2092</v>
      </c>
      <c r="C527" s="4" t="s">
        <v>1944</v>
      </c>
      <c r="D527" s="2" t="s">
        <v>1981</v>
      </c>
      <c r="E527" s="2" t="s">
        <v>2093</v>
      </c>
      <c r="F527" s="2" t="s">
        <v>1981</v>
      </c>
      <c r="G527" s="4">
        <f t="shared" si="8"/>
        <v>1</v>
      </c>
      <c r="J527" s="2" t="s">
        <v>2259</v>
      </c>
      <c r="L527" s="16">
        <v>48.780454711499999</v>
      </c>
      <c r="M527" s="7">
        <v>2.1914099192699998</v>
      </c>
      <c r="N527" s="4" t="str">
        <f>VLOOKUP(C527,CHECKS!A:I,9,FALSE)</f>
        <v>#E2231A</v>
      </c>
      <c r="O527" s="4">
        <f>VLOOKUP(C527,CHECKS!A:I,6,FALSE)</f>
        <v>2</v>
      </c>
      <c r="P527" s="4">
        <f>VLOOKUP(C527,CHECKS!A:I,7,FALSE)</f>
        <v>4</v>
      </c>
      <c r="Q527" s="4">
        <f>VLOOKUP(C527,CHECKS!A:I,8,FALSE)</f>
        <v>7</v>
      </c>
      <c r="R527">
        <v>525</v>
      </c>
    </row>
    <row r="528" spans="1:18" x14ac:dyDescent="0.2">
      <c r="A528" s="4">
        <v>5270</v>
      </c>
      <c r="B528" s="2" t="s">
        <v>2094</v>
      </c>
      <c r="C528" s="4" t="s">
        <v>1944</v>
      </c>
      <c r="D528" s="2" t="s">
        <v>1982</v>
      </c>
      <c r="E528" s="2" t="s">
        <v>2095</v>
      </c>
      <c r="F528" s="2" t="s">
        <v>1982</v>
      </c>
      <c r="G528" s="4">
        <f t="shared" si="8"/>
        <v>1</v>
      </c>
      <c r="J528" s="2" t="s">
        <v>2255</v>
      </c>
      <c r="L528" s="16">
        <v>48.780087152</v>
      </c>
      <c r="M528" s="7">
        <v>2.1965058124899999</v>
      </c>
      <c r="N528" s="4" t="str">
        <f>VLOOKUP(C528,CHECKS!A:I,9,FALSE)</f>
        <v>#E2231A</v>
      </c>
      <c r="O528" s="4">
        <f>VLOOKUP(C528,CHECKS!A:I,6,FALSE)</f>
        <v>2</v>
      </c>
      <c r="P528" s="4">
        <f>VLOOKUP(C528,CHECKS!A:I,7,FALSE)</f>
        <v>4</v>
      </c>
      <c r="Q528" s="4">
        <f>VLOOKUP(C528,CHECKS!A:I,8,FALSE)</f>
        <v>7</v>
      </c>
      <c r="R528">
        <v>526</v>
      </c>
    </row>
    <row r="529" spans="1:22" x14ac:dyDescent="0.2">
      <c r="A529" s="4">
        <v>5280</v>
      </c>
      <c r="B529" s="2" t="s">
        <v>2096</v>
      </c>
      <c r="C529" s="4" t="s">
        <v>1944</v>
      </c>
      <c r="D529" s="2" t="s">
        <v>1983</v>
      </c>
      <c r="E529" s="2" t="s">
        <v>2097</v>
      </c>
      <c r="F529" s="2" t="s">
        <v>1983</v>
      </c>
      <c r="G529" s="4">
        <f t="shared" si="8"/>
        <v>1</v>
      </c>
      <c r="J529" s="2" t="s">
        <v>2236</v>
      </c>
      <c r="L529" s="16">
        <v>48.781404320900002</v>
      </c>
      <c r="M529" s="7">
        <v>2.2091292272900001</v>
      </c>
      <c r="N529" s="4" t="str">
        <f>VLOOKUP(C529,CHECKS!A:I,9,FALSE)</f>
        <v>#E2231A</v>
      </c>
      <c r="O529" s="4">
        <f>VLOOKUP(C529,CHECKS!A:I,6,FALSE)</f>
        <v>2</v>
      </c>
      <c r="P529" s="4">
        <f>VLOOKUP(C529,CHECKS!A:I,7,FALSE)</f>
        <v>4</v>
      </c>
      <c r="Q529" s="4">
        <f>VLOOKUP(C529,CHECKS!A:I,8,FALSE)</f>
        <v>7</v>
      </c>
      <c r="R529">
        <v>527</v>
      </c>
    </row>
    <row r="530" spans="1:22" x14ac:dyDescent="0.2">
      <c r="A530" s="4">
        <v>5290</v>
      </c>
      <c r="B530" s="2" t="s">
        <v>2098</v>
      </c>
      <c r="C530" s="4" t="s">
        <v>1944</v>
      </c>
      <c r="D530" s="2" t="s">
        <v>1984</v>
      </c>
      <c r="E530" s="2" t="s">
        <v>2099</v>
      </c>
      <c r="F530" s="2" t="s">
        <v>1984</v>
      </c>
      <c r="G530" s="4">
        <f t="shared" si="8"/>
        <v>1</v>
      </c>
      <c r="J530" s="2" t="s">
        <v>2222</v>
      </c>
      <c r="L530" s="16">
        <v>48.783624622200001</v>
      </c>
      <c r="M530" s="7">
        <v>2.2144335020499999</v>
      </c>
      <c r="N530" s="4" t="str">
        <f>VLOOKUP(C530,CHECKS!A:I,9,FALSE)</f>
        <v>#E2231A</v>
      </c>
      <c r="O530" s="4">
        <f>VLOOKUP(C530,CHECKS!A:I,6,FALSE)</f>
        <v>2</v>
      </c>
      <c r="P530" s="4">
        <f>VLOOKUP(C530,CHECKS!A:I,7,FALSE)</f>
        <v>4</v>
      </c>
      <c r="Q530" s="4">
        <f>VLOOKUP(C530,CHECKS!A:I,8,FALSE)</f>
        <v>7</v>
      </c>
      <c r="R530">
        <v>528</v>
      </c>
      <c r="U530" s="15"/>
      <c r="V530" s="15"/>
    </row>
    <row r="531" spans="1:22" x14ac:dyDescent="0.2">
      <c r="A531" s="4">
        <v>5300</v>
      </c>
      <c r="B531" s="2" t="s">
        <v>2100</v>
      </c>
      <c r="C531" s="4" t="s">
        <v>1944</v>
      </c>
      <c r="D531" s="2" t="s">
        <v>1985</v>
      </c>
      <c r="E531" s="2" t="s">
        <v>2101</v>
      </c>
      <c r="F531" s="2" t="s">
        <v>1985</v>
      </c>
      <c r="G531" s="4">
        <f t="shared" si="8"/>
        <v>1</v>
      </c>
      <c r="J531" s="2" t="s">
        <v>2285</v>
      </c>
      <c r="L531" s="16">
        <v>48.784969763299998</v>
      </c>
      <c r="M531" s="7">
        <v>2.2200095168599998</v>
      </c>
      <c r="N531" s="4" t="str">
        <f>VLOOKUP(C531,CHECKS!A:I,9,FALSE)</f>
        <v>#E2231A</v>
      </c>
      <c r="O531" s="4">
        <f>VLOOKUP(C531,CHECKS!A:I,6,FALSE)</f>
        <v>2</v>
      </c>
      <c r="P531" s="4">
        <f>VLOOKUP(C531,CHECKS!A:I,7,FALSE)</f>
        <v>4</v>
      </c>
      <c r="Q531" s="4">
        <f>VLOOKUP(C531,CHECKS!A:I,8,FALSE)</f>
        <v>7</v>
      </c>
      <c r="R531">
        <v>529</v>
      </c>
      <c r="U531" s="15"/>
      <c r="V531" s="15"/>
    </row>
    <row r="532" spans="1:22" x14ac:dyDescent="0.2">
      <c r="A532" s="4">
        <v>5310</v>
      </c>
      <c r="B532" s="2" t="s">
        <v>2102</v>
      </c>
      <c r="C532" s="4" t="s">
        <v>1944</v>
      </c>
      <c r="D532" s="2" t="s">
        <v>1986</v>
      </c>
      <c r="E532" s="2" t="s">
        <v>2103</v>
      </c>
      <c r="F532" s="2" t="s">
        <v>1986</v>
      </c>
      <c r="G532" s="4">
        <f t="shared" si="8"/>
        <v>1</v>
      </c>
      <c r="J532" s="2" t="s">
        <v>2260</v>
      </c>
      <c r="L532" s="16">
        <v>48.783539332799997</v>
      </c>
      <c r="M532" s="7">
        <v>2.2252802952800002</v>
      </c>
      <c r="N532" s="4" t="str">
        <f>VLOOKUP(C532,CHECKS!A:I,9,FALSE)</f>
        <v>#E2231A</v>
      </c>
      <c r="O532" s="4">
        <f>VLOOKUP(C532,CHECKS!A:I,6,FALSE)</f>
        <v>2</v>
      </c>
      <c r="P532" s="4">
        <f>VLOOKUP(C532,CHECKS!A:I,7,FALSE)</f>
        <v>4</v>
      </c>
      <c r="Q532" s="4">
        <f>VLOOKUP(C532,CHECKS!A:I,8,FALSE)</f>
        <v>7</v>
      </c>
      <c r="R532">
        <v>530</v>
      </c>
      <c r="U532" s="15"/>
      <c r="V532" s="15"/>
    </row>
    <row r="533" spans="1:22" x14ac:dyDescent="0.2">
      <c r="A533" s="4">
        <v>5320</v>
      </c>
      <c r="B533" s="2" t="s">
        <v>2104</v>
      </c>
      <c r="C533" s="4" t="s">
        <v>1944</v>
      </c>
      <c r="D533" s="2" t="s">
        <v>1987</v>
      </c>
      <c r="E533" s="2" t="s">
        <v>2105</v>
      </c>
      <c r="F533" s="2" t="s">
        <v>1987</v>
      </c>
      <c r="G533" s="4">
        <f t="shared" si="8"/>
        <v>1</v>
      </c>
      <c r="J533" s="2" t="s">
        <v>2230</v>
      </c>
      <c r="L533" s="16">
        <v>48.783500975700001</v>
      </c>
      <c r="M533" s="7">
        <v>2.2309835589400002</v>
      </c>
      <c r="N533" s="4" t="str">
        <f>VLOOKUP(C533,CHECKS!A:I,9,FALSE)</f>
        <v>#E2231A</v>
      </c>
      <c r="O533" s="4">
        <f>VLOOKUP(C533,CHECKS!A:I,6,FALSE)</f>
        <v>2</v>
      </c>
      <c r="P533" s="4">
        <f>VLOOKUP(C533,CHECKS!A:I,7,FALSE)</f>
        <v>4</v>
      </c>
      <c r="Q533" s="4">
        <f>VLOOKUP(C533,CHECKS!A:I,8,FALSE)</f>
        <v>7</v>
      </c>
      <c r="R533">
        <v>531</v>
      </c>
      <c r="U533" s="15"/>
      <c r="V533" s="15"/>
    </row>
    <row r="534" spans="1:22" x14ac:dyDescent="0.2">
      <c r="A534" s="4">
        <v>5330</v>
      </c>
      <c r="B534" s="2" t="s">
        <v>2106</v>
      </c>
      <c r="C534" s="4" t="s">
        <v>1944</v>
      </c>
      <c r="D534" s="2" t="s">
        <v>1988</v>
      </c>
      <c r="E534" s="2" t="s">
        <v>2107</v>
      </c>
      <c r="F534" s="2" t="s">
        <v>1988</v>
      </c>
      <c r="G534" s="4">
        <f t="shared" si="8"/>
        <v>1</v>
      </c>
      <c r="J534" s="2" t="s">
        <v>2231</v>
      </c>
      <c r="L534" s="16">
        <v>48.7849021663</v>
      </c>
      <c r="M534" s="7">
        <v>2.2371327049700001</v>
      </c>
      <c r="N534" s="4" t="str">
        <f>VLOOKUP(C534,CHECKS!A:I,9,FALSE)</f>
        <v>#E2231A</v>
      </c>
      <c r="O534" s="4">
        <f>VLOOKUP(C534,CHECKS!A:I,6,FALSE)</f>
        <v>2</v>
      </c>
      <c r="P534" s="4">
        <f>VLOOKUP(C534,CHECKS!A:I,7,FALSE)</f>
        <v>4</v>
      </c>
      <c r="Q534" s="4">
        <f>VLOOKUP(C534,CHECKS!A:I,8,FALSE)</f>
        <v>7</v>
      </c>
      <c r="R534">
        <v>532</v>
      </c>
      <c r="U534" s="15"/>
      <c r="V534" s="15"/>
    </row>
    <row r="535" spans="1:22" x14ac:dyDescent="0.2">
      <c r="A535" s="4">
        <v>5340</v>
      </c>
      <c r="B535" s="2" t="s">
        <v>2108</v>
      </c>
      <c r="C535" s="4" t="s">
        <v>1944</v>
      </c>
      <c r="D535" s="2" t="s">
        <v>1989</v>
      </c>
      <c r="E535" s="2" t="s">
        <v>2109</v>
      </c>
      <c r="F535" s="2" t="s">
        <v>1989</v>
      </c>
      <c r="G535" s="4">
        <f t="shared" si="8"/>
        <v>1</v>
      </c>
      <c r="J535" s="2" t="s">
        <v>2267</v>
      </c>
      <c r="L535" s="16">
        <v>48.7807309692</v>
      </c>
      <c r="M535" s="7">
        <v>2.2398320176199999</v>
      </c>
      <c r="N535" s="4" t="str">
        <f>VLOOKUP(C535,CHECKS!A:I,9,FALSE)</f>
        <v>#E2231A</v>
      </c>
      <c r="O535" s="4">
        <f>VLOOKUP(C535,CHECKS!A:I,6,FALSE)</f>
        <v>2</v>
      </c>
      <c r="P535" s="4">
        <f>VLOOKUP(C535,CHECKS!A:I,7,FALSE)</f>
        <v>4</v>
      </c>
      <c r="Q535" s="4">
        <f>VLOOKUP(C535,CHECKS!A:I,8,FALSE)</f>
        <v>7</v>
      </c>
      <c r="R535">
        <v>533</v>
      </c>
      <c r="U535" s="15"/>
      <c r="V535" s="15"/>
    </row>
    <row r="536" spans="1:22" x14ac:dyDescent="0.2">
      <c r="A536" s="4">
        <v>5350</v>
      </c>
      <c r="B536" s="2" t="s">
        <v>2110</v>
      </c>
      <c r="C536" s="4" t="s">
        <v>1944</v>
      </c>
      <c r="D536" s="2" t="s">
        <v>1990</v>
      </c>
      <c r="E536" s="2" t="s">
        <v>2111</v>
      </c>
      <c r="F536" s="2" t="s">
        <v>1990</v>
      </c>
      <c r="G536" s="4">
        <f t="shared" si="8"/>
        <v>1</v>
      </c>
      <c r="J536" s="2" t="s">
        <v>2257</v>
      </c>
      <c r="L536" s="16">
        <v>48.783687215199997</v>
      </c>
      <c r="M536" s="7">
        <v>2.2469776491600002</v>
      </c>
      <c r="N536" s="4" t="str">
        <f>VLOOKUP(C536,CHECKS!A:I,9,FALSE)</f>
        <v>#E2231A</v>
      </c>
      <c r="O536" s="4">
        <f>VLOOKUP(C536,CHECKS!A:I,6,FALSE)</f>
        <v>2</v>
      </c>
      <c r="P536" s="4">
        <f>VLOOKUP(C536,CHECKS!A:I,7,FALSE)</f>
        <v>4</v>
      </c>
      <c r="Q536" s="4">
        <f>VLOOKUP(C536,CHECKS!A:I,8,FALSE)</f>
        <v>7</v>
      </c>
      <c r="R536">
        <v>534</v>
      </c>
      <c r="U536" s="15"/>
      <c r="V536" s="15"/>
    </row>
    <row r="537" spans="1:22" x14ac:dyDescent="0.2">
      <c r="A537" s="4">
        <v>5360</v>
      </c>
      <c r="B537" s="2" t="s">
        <v>2112</v>
      </c>
      <c r="C537" s="4" t="s">
        <v>1944</v>
      </c>
      <c r="D537" s="2" t="s">
        <v>1991</v>
      </c>
      <c r="E537" s="2" t="s">
        <v>2113</v>
      </c>
      <c r="F537" s="2" t="s">
        <v>1991</v>
      </c>
      <c r="G537" s="4">
        <f t="shared" si="8"/>
        <v>1</v>
      </c>
      <c r="J537" s="2" t="s">
        <v>2235</v>
      </c>
      <c r="L537" s="16">
        <v>48.786716182200003</v>
      </c>
      <c r="M537" s="7">
        <v>2.2545021520400002</v>
      </c>
      <c r="N537" s="4" t="str">
        <f>VLOOKUP(C537,CHECKS!A:I,9,FALSE)</f>
        <v>#E2231A</v>
      </c>
      <c r="O537" s="4">
        <f>VLOOKUP(C537,CHECKS!A:I,6,FALSE)</f>
        <v>2</v>
      </c>
      <c r="P537" s="4">
        <f>VLOOKUP(C537,CHECKS!A:I,7,FALSE)</f>
        <v>4</v>
      </c>
      <c r="Q537" s="4">
        <f>VLOOKUP(C537,CHECKS!A:I,8,FALSE)</f>
        <v>7</v>
      </c>
      <c r="R537">
        <v>535</v>
      </c>
      <c r="U537" s="15"/>
      <c r="V537" s="15"/>
    </row>
    <row r="538" spans="1:22" x14ac:dyDescent="0.2">
      <c r="A538" s="4">
        <v>5370</v>
      </c>
      <c r="B538" s="2" t="s">
        <v>2114</v>
      </c>
      <c r="C538" s="4" t="s">
        <v>1944</v>
      </c>
      <c r="D538" s="2" t="s">
        <v>1992</v>
      </c>
      <c r="E538" s="2" t="s">
        <v>2115</v>
      </c>
      <c r="F538" s="2" t="s">
        <v>1992</v>
      </c>
      <c r="G538" s="4">
        <f t="shared" si="8"/>
        <v>1</v>
      </c>
      <c r="J538" s="2" t="s">
        <v>2281</v>
      </c>
      <c r="L538" s="16">
        <v>48.790333001900002</v>
      </c>
      <c r="M538" s="7">
        <v>2.2633891660200001</v>
      </c>
      <c r="N538" s="4" t="str">
        <f>VLOOKUP(C538,CHECKS!A:I,9,FALSE)</f>
        <v>#E2231A</v>
      </c>
      <c r="O538" s="4">
        <f>VLOOKUP(C538,CHECKS!A:I,6,FALSE)</f>
        <v>2</v>
      </c>
      <c r="P538" s="4">
        <f>VLOOKUP(C538,CHECKS!A:I,7,FALSE)</f>
        <v>4</v>
      </c>
      <c r="Q538" s="4">
        <f>VLOOKUP(C538,CHECKS!A:I,8,FALSE)</f>
        <v>7</v>
      </c>
      <c r="R538">
        <v>536</v>
      </c>
      <c r="U538" s="15"/>
      <c r="V538" s="15"/>
    </row>
    <row r="539" spans="1:22" x14ac:dyDescent="0.2">
      <c r="A539" s="4">
        <v>5380</v>
      </c>
      <c r="B539" s="2" t="s">
        <v>2116</v>
      </c>
      <c r="C539" s="4" t="s">
        <v>1944</v>
      </c>
      <c r="D539" s="2" t="s">
        <v>1993</v>
      </c>
      <c r="E539" s="2" t="s">
        <v>2117</v>
      </c>
      <c r="F539" s="2" t="s">
        <v>1993</v>
      </c>
      <c r="G539" s="4">
        <f t="shared" si="8"/>
        <v>1</v>
      </c>
      <c r="J539" s="2" t="s">
        <v>2223</v>
      </c>
      <c r="L539" s="16">
        <v>48.794468884499999</v>
      </c>
      <c r="M539" s="7">
        <v>2.2726503446600002</v>
      </c>
      <c r="N539" s="4" t="str">
        <f>VLOOKUP(C539,CHECKS!A:I,9,FALSE)</f>
        <v>#E2231A</v>
      </c>
      <c r="O539" s="4">
        <f>VLOOKUP(C539,CHECKS!A:I,6,FALSE)</f>
        <v>2</v>
      </c>
      <c r="P539" s="4">
        <f>VLOOKUP(C539,CHECKS!A:I,7,FALSE)</f>
        <v>4</v>
      </c>
      <c r="Q539" s="4">
        <f>VLOOKUP(C539,CHECKS!A:I,8,FALSE)</f>
        <v>7</v>
      </c>
      <c r="R539">
        <v>537</v>
      </c>
      <c r="U539" s="15"/>
      <c r="V539" s="15"/>
    </row>
    <row r="540" spans="1:22" x14ac:dyDescent="0.2">
      <c r="A540" s="4">
        <v>5390</v>
      </c>
      <c r="B540" s="2" t="s">
        <v>2118</v>
      </c>
      <c r="C540" s="4" t="s">
        <v>1944</v>
      </c>
      <c r="D540" s="2" t="s">
        <v>1994</v>
      </c>
      <c r="E540" s="2" t="s">
        <v>2119</v>
      </c>
      <c r="F540" s="2" t="s">
        <v>1994</v>
      </c>
      <c r="G540" s="4">
        <f t="shared" si="8"/>
        <v>1</v>
      </c>
      <c r="J540" s="2" t="s">
        <v>2264</v>
      </c>
      <c r="L540" s="16">
        <v>48.799887383200002</v>
      </c>
      <c r="M540" s="7">
        <v>2.2819513201700001</v>
      </c>
      <c r="N540" s="4" t="str">
        <f>VLOOKUP(C540,CHECKS!A:I,9,FALSE)</f>
        <v>#E2231A</v>
      </c>
      <c r="O540" s="4">
        <f>VLOOKUP(C540,CHECKS!A:I,6,FALSE)</f>
        <v>2</v>
      </c>
      <c r="P540" s="4">
        <f>VLOOKUP(C540,CHECKS!A:I,7,FALSE)</f>
        <v>4</v>
      </c>
      <c r="Q540" s="4">
        <f>VLOOKUP(C540,CHECKS!A:I,8,FALSE)</f>
        <v>7</v>
      </c>
      <c r="R540">
        <v>538</v>
      </c>
      <c r="U540" s="15"/>
      <c r="V540" s="15"/>
    </row>
    <row r="541" spans="1:22" x14ac:dyDescent="0.2">
      <c r="A541" s="4">
        <v>5400</v>
      </c>
      <c r="B541" s="2" t="s">
        <v>2120</v>
      </c>
      <c r="C541" s="4" t="s">
        <v>1944</v>
      </c>
      <c r="D541" s="2" t="s">
        <v>1995</v>
      </c>
      <c r="E541" s="2" t="s">
        <v>2121</v>
      </c>
      <c r="F541" s="2" t="s">
        <v>1995</v>
      </c>
      <c r="G541" s="4">
        <f t="shared" si="8"/>
        <v>1</v>
      </c>
      <c r="J541" s="2" t="s">
        <v>2218</v>
      </c>
      <c r="L541" s="16">
        <v>48.804204938300003</v>
      </c>
      <c r="M541" s="7">
        <v>2.2890572535999998</v>
      </c>
      <c r="N541" s="4" t="str">
        <f>VLOOKUP(C541,CHECKS!A:I,9,FALSE)</f>
        <v>#E2231A</v>
      </c>
      <c r="O541" s="4">
        <f>VLOOKUP(C541,CHECKS!A:I,6,FALSE)</f>
        <v>2</v>
      </c>
      <c r="P541" s="4">
        <f>VLOOKUP(C541,CHECKS!A:I,7,FALSE)</f>
        <v>4</v>
      </c>
      <c r="Q541" s="4">
        <f>VLOOKUP(C541,CHECKS!A:I,8,FALSE)</f>
        <v>7</v>
      </c>
      <c r="R541">
        <v>539</v>
      </c>
      <c r="U541" s="15"/>
      <c r="V541" s="15"/>
    </row>
    <row r="542" spans="1:22" x14ac:dyDescent="0.2">
      <c r="A542" s="4">
        <v>5410</v>
      </c>
      <c r="B542" s="2" t="s">
        <v>2122</v>
      </c>
      <c r="C542" s="4" t="s">
        <v>1944</v>
      </c>
      <c r="D542" s="2" t="s">
        <v>1996</v>
      </c>
      <c r="E542" s="2" t="s">
        <v>2123</v>
      </c>
      <c r="F542" s="2" t="s">
        <v>1996</v>
      </c>
      <c r="G542" s="4">
        <f t="shared" si="8"/>
        <v>1</v>
      </c>
      <c r="J542" s="2" t="s">
        <v>2284</v>
      </c>
      <c r="L542" s="16">
        <v>48.807169846800001</v>
      </c>
      <c r="M542" s="7">
        <v>2.2940912443200001</v>
      </c>
      <c r="N542" s="4" t="str">
        <f>VLOOKUP(C542,CHECKS!A:I,9,FALSE)</f>
        <v>#E2231A</v>
      </c>
      <c r="O542" s="4">
        <f>VLOOKUP(C542,CHECKS!A:I,6,FALSE)</f>
        <v>2</v>
      </c>
      <c r="P542" s="4">
        <f>VLOOKUP(C542,CHECKS!A:I,7,FALSE)</f>
        <v>4</v>
      </c>
      <c r="Q542" s="4">
        <f>VLOOKUP(C542,CHECKS!A:I,8,FALSE)</f>
        <v>7</v>
      </c>
      <c r="R542">
        <v>540</v>
      </c>
      <c r="U542" s="15"/>
      <c r="V542" s="15"/>
    </row>
    <row r="543" spans="1:22" x14ac:dyDescent="0.2">
      <c r="A543" s="4">
        <v>5420</v>
      </c>
      <c r="B543" s="2" t="s">
        <v>2124</v>
      </c>
      <c r="C543" s="4" t="s">
        <v>1944</v>
      </c>
      <c r="D543" s="2" t="s">
        <v>1236</v>
      </c>
      <c r="E543" s="2" t="s">
        <v>2122</v>
      </c>
      <c r="F543" s="2" t="s">
        <v>1236</v>
      </c>
      <c r="G543" s="4">
        <f t="shared" si="8"/>
        <v>2</v>
      </c>
      <c r="I543" s="2" t="s">
        <v>1040</v>
      </c>
      <c r="J543" s="2" t="s">
        <v>1996</v>
      </c>
      <c r="L543" s="16">
        <v>48.810601094500001</v>
      </c>
      <c r="M543" s="7">
        <v>2.3003574744300002</v>
      </c>
      <c r="N543" s="4" t="str">
        <f>VLOOKUP(C543,CHECKS!A:I,9,FALSE)</f>
        <v>#E2231A</v>
      </c>
      <c r="O543" s="4">
        <f>VLOOKUP(C543,CHECKS!A:I,6,FALSE)</f>
        <v>2</v>
      </c>
      <c r="P543" s="4">
        <f>VLOOKUP(C543,CHECKS!A:I,7,FALSE)</f>
        <v>4</v>
      </c>
      <c r="Q543" s="4">
        <f>VLOOKUP(C543,CHECKS!A:I,8,FALSE)</f>
        <v>7</v>
      </c>
      <c r="R543">
        <v>541</v>
      </c>
      <c r="U543" s="15"/>
      <c r="V543" s="15"/>
    </row>
    <row r="544" spans="1:22" x14ac:dyDescent="0.2">
      <c r="A544" s="4">
        <v>5430</v>
      </c>
      <c r="B544" s="2" t="s">
        <v>2125</v>
      </c>
      <c r="C544" s="4" t="s">
        <v>1945</v>
      </c>
      <c r="D544" s="2" t="s">
        <v>525</v>
      </c>
      <c r="E544" s="2" t="s">
        <v>2126</v>
      </c>
      <c r="F544" s="2" t="s">
        <v>525</v>
      </c>
      <c r="G544" s="4">
        <f t="shared" si="8"/>
        <v>2</v>
      </c>
      <c r="I544" s="2" t="s">
        <v>672</v>
      </c>
      <c r="J544" s="2" t="s">
        <v>1997</v>
      </c>
      <c r="L544" s="16">
        <v>48.787280350000003</v>
      </c>
      <c r="M544" s="7">
        <v>2.36698844495</v>
      </c>
      <c r="N544" s="4" t="str">
        <f>VLOOKUP(C544,CHECKS!A:I,9,FALSE)</f>
        <v>#704B1C</v>
      </c>
      <c r="O544" s="4">
        <f>VLOOKUP(C544,CHECKS!A:I,6,FALSE)</f>
        <v>1.82</v>
      </c>
      <c r="P544" s="4">
        <f>VLOOKUP(C544,CHECKS!A:I,7,FALSE)</f>
        <v>4</v>
      </c>
      <c r="Q544" s="4">
        <f>VLOOKUP(C544,CHECKS!A:I,8,FALSE)</f>
        <v>7</v>
      </c>
      <c r="R544">
        <v>542</v>
      </c>
      <c r="U544" s="15"/>
      <c r="V544" s="15"/>
    </row>
    <row r="545" spans="1:22" x14ac:dyDescent="0.2">
      <c r="A545" s="4">
        <v>5440</v>
      </c>
      <c r="B545" s="2" t="s">
        <v>2126</v>
      </c>
      <c r="C545" s="4" t="s">
        <v>1945</v>
      </c>
      <c r="D545" s="2" t="s">
        <v>1997</v>
      </c>
      <c r="E545" s="2" t="s">
        <v>2127</v>
      </c>
      <c r="F545" s="2" t="s">
        <v>1997</v>
      </c>
      <c r="G545" s="4">
        <f t="shared" si="8"/>
        <v>1</v>
      </c>
      <c r="J545" s="2" t="s">
        <v>2246</v>
      </c>
      <c r="L545" s="16">
        <v>48.783107550399997</v>
      </c>
      <c r="M545" s="7">
        <v>2.3671578333199998</v>
      </c>
      <c r="N545" s="4" t="str">
        <f>VLOOKUP(C545,CHECKS!A:I,9,FALSE)</f>
        <v>#704B1C</v>
      </c>
      <c r="O545" s="4">
        <f>VLOOKUP(C545,CHECKS!A:I,6,FALSE)</f>
        <v>1.82</v>
      </c>
      <c r="P545" s="4">
        <f>VLOOKUP(C545,CHECKS!A:I,7,FALSE)</f>
        <v>4</v>
      </c>
      <c r="Q545" s="4">
        <f>VLOOKUP(C545,CHECKS!A:I,8,FALSE)</f>
        <v>7</v>
      </c>
      <c r="R545">
        <v>543</v>
      </c>
      <c r="U545" s="15"/>
      <c r="V545" s="15"/>
    </row>
    <row r="546" spans="1:22" x14ac:dyDescent="0.2">
      <c r="A546" s="4">
        <v>5450</v>
      </c>
      <c r="B546" s="2" t="s">
        <v>2128</v>
      </c>
      <c r="C546" s="4" t="s">
        <v>1945</v>
      </c>
      <c r="D546" s="2" t="s">
        <v>1998</v>
      </c>
      <c r="E546" s="2" t="s">
        <v>2129</v>
      </c>
      <c r="F546" s="2" t="s">
        <v>1998</v>
      </c>
      <c r="G546" s="4">
        <f t="shared" si="8"/>
        <v>1</v>
      </c>
      <c r="J546" s="2" t="s">
        <v>2224</v>
      </c>
      <c r="L546" s="16">
        <v>48.778936393099997</v>
      </c>
      <c r="M546" s="7">
        <v>2.3674058644999998</v>
      </c>
      <c r="N546" s="4" t="str">
        <f>VLOOKUP(C546,CHECKS!A:I,9,FALSE)</f>
        <v>#704B1C</v>
      </c>
      <c r="O546" s="4">
        <f>VLOOKUP(C546,CHECKS!A:I,6,FALSE)</f>
        <v>1.82</v>
      </c>
      <c r="P546" s="4">
        <f>VLOOKUP(C546,CHECKS!A:I,7,FALSE)</f>
        <v>4</v>
      </c>
      <c r="Q546" s="4">
        <f>VLOOKUP(C546,CHECKS!A:I,8,FALSE)</f>
        <v>7</v>
      </c>
      <c r="R546">
        <v>544</v>
      </c>
      <c r="U546" s="15"/>
      <c r="V546" s="15"/>
    </row>
    <row r="547" spans="1:22" x14ac:dyDescent="0.2">
      <c r="A547" s="4">
        <v>5460</v>
      </c>
      <c r="B547" s="2" t="s">
        <v>2130</v>
      </c>
      <c r="C547" s="4" t="s">
        <v>1945</v>
      </c>
      <c r="D547" s="2" t="s">
        <v>1999</v>
      </c>
      <c r="E547" s="2" t="s">
        <v>2131</v>
      </c>
      <c r="F547" s="2" t="s">
        <v>1999</v>
      </c>
      <c r="G547" s="4">
        <f t="shared" si="8"/>
        <v>1</v>
      </c>
      <c r="J547" s="2" t="s">
        <v>2262</v>
      </c>
      <c r="L547" s="16">
        <v>48.772074216599997</v>
      </c>
      <c r="M547" s="7">
        <v>2.3678150016299999</v>
      </c>
      <c r="N547" s="4" t="str">
        <f>VLOOKUP(C547,CHECKS!A:I,9,FALSE)</f>
        <v>#704B1C</v>
      </c>
      <c r="O547" s="4">
        <f>VLOOKUP(C547,CHECKS!A:I,6,FALSE)</f>
        <v>1.82</v>
      </c>
      <c r="P547" s="4">
        <f>VLOOKUP(C547,CHECKS!A:I,7,FALSE)</f>
        <v>4</v>
      </c>
      <c r="Q547" s="4">
        <f>VLOOKUP(C547,CHECKS!A:I,8,FALSE)</f>
        <v>7</v>
      </c>
      <c r="R547">
        <v>545</v>
      </c>
      <c r="U547" s="15"/>
      <c r="V547" s="15"/>
    </row>
    <row r="548" spans="1:22" x14ac:dyDescent="0.2">
      <c r="A548" s="4">
        <v>5470</v>
      </c>
      <c r="B548" s="2" t="s">
        <v>2132</v>
      </c>
      <c r="C548" s="4" t="s">
        <v>1945</v>
      </c>
      <c r="D548" s="2" t="s">
        <v>2000</v>
      </c>
      <c r="E548" s="2" t="s">
        <v>2133</v>
      </c>
      <c r="F548" s="2" t="s">
        <v>2000</v>
      </c>
      <c r="G548" s="4">
        <f t="shared" si="8"/>
        <v>1</v>
      </c>
      <c r="J548" s="2" t="s">
        <v>2214</v>
      </c>
      <c r="L548" s="16">
        <v>48.768221780399998</v>
      </c>
      <c r="M548" s="7">
        <v>2.3680415206699998</v>
      </c>
      <c r="N548" s="4" t="str">
        <f>VLOOKUP(C548,CHECKS!A:I,9,FALSE)</f>
        <v>#704B1C</v>
      </c>
      <c r="O548" s="4">
        <f>VLOOKUP(C548,CHECKS!A:I,6,FALSE)</f>
        <v>1.82</v>
      </c>
      <c r="P548" s="4">
        <f>VLOOKUP(C548,CHECKS!A:I,7,FALSE)</f>
        <v>4</v>
      </c>
      <c r="Q548" s="4">
        <f>VLOOKUP(C548,CHECKS!A:I,8,FALSE)</f>
        <v>7</v>
      </c>
      <c r="R548">
        <v>546</v>
      </c>
      <c r="U548" s="15"/>
      <c r="V548" s="15"/>
    </row>
    <row r="549" spans="1:22" x14ac:dyDescent="0.2">
      <c r="A549" s="4">
        <v>5480</v>
      </c>
      <c r="B549" s="2" t="s">
        <v>2134</v>
      </c>
      <c r="C549" s="4" t="s">
        <v>1945</v>
      </c>
      <c r="D549" s="2" t="s">
        <v>2001</v>
      </c>
      <c r="E549" s="2" t="s">
        <v>2135</v>
      </c>
      <c r="F549" s="2" t="s">
        <v>2001</v>
      </c>
      <c r="G549" s="4">
        <f t="shared" si="8"/>
        <v>1</v>
      </c>
      <c r="J549" s="2" t="s">
        <v>2210</v>
      </c>
      <c r="L549" s="16">
        <v>48.763375152999998</v>
      </c>
      <c r="M549" s="7">
        <v>2.3677905357300002</v>
      </c>
      <c r="N549" s="4" t="str">
        <f>VLOOKUP(C549,CHECKS!A:I,9,FALSE)</f>
        <v>#704B1C</v>
      </c>
      <c r="O549" s="4">
        <f>VLOOKUP(C549,CHECKS!A:I,6,FALSE)</f>
        <v>1.82</v>
      </c>
      <c r="P549" s="4">
        <f>VLOOKUP(C549,CHECKS!A:I,7,FALSE)</f>
        <v>4</v>
      </c>
      <c r="Q549" s="4">
        <f>VLOOKUP(C549,CHECKS!A:I,8,FALSE)</f>
        <v>7</v>
      </c>
      <c r="R549">
        <v>547</v>
      </c>
      <c r="U549" s="15"/>
      <c r="V549" s="15"/>
    </row>
    <row r="550" spans="1:22" x14ac:dyDescent="0.2">
      <c r="A550" s="4">
        <v>5490</v>
      </c>
      <c r="B550" s="2" t="s">
        <v>2136</v>
      </c>
      <c r="C550" s="4" t="s">
        <v>1945</v>
      </c>
      <c r="D550" s="2" t="s">
        <v>2002</v>
      </c>
      <c r="E550" s="2" t="s">
        <v>2137</v>
      </c>
      <c r="F550" s="2" t="s">
        <v>2002</v>
      </c>
      <c r="G550" s="4">
        <f t="shared" si="8"/>
        <v>1</v>
      </c>
      <c r="J550" s="2" t="s">
        <v>2273</v>
      </c>
      <c r="L550" s="16">
        <v>48.759573535299999</v>
      </c>
      <c r="M550" s="7">
        <v>2.3663980000399998</v>
      </c>
      <c r="N550" s="4" t="str">
        <f>VLOOKUP(C550,CHECKS!A:I,9,FALSE)</f>
        <v>#704B1C</v>
      </c>
      <c r="O550" s="4">
        <f>VLOOKUP(C550,CHECKS!A:I,6,FALSE)</f>
        <v>1.82</v>
      </c>
      <c r="P550" s="4">
        <f>VLOOKUP(C550,CHECKS!A:I,7,FALSE)</f>
        <v>4</v>
      </c>
      <c r="Q550" s="4">
        <f>VLOOKUP(C550,CHECKS!A:I,8,FALSE)</f>
        <v>7</v>
      </c>
      <c r="R550">
        <v>548</v>
      </c>
      <c r="U550" s="15"/>
      <c r="V550" s="15"/>
    </row>
    <row r="551" spans="1:22" x14ac:dyDescent="0.2">
      <c r="A551" s="4">
        <v>5500</v>
      </c>
      <c r="B551" s="2" t="s">
        <v>2138</v>
      </c>
      <c r="C551" s="4" t="s">
        <v>1945</v>
      </c>
      <c r="D551" s="2" t="s">
        <v>2003</v>
      </c>
      <c r="E551" s="2" t="s">
        <v>2139</v>
      </c>
      <c r="F551" s="2" t="s">
        <v>2003</v>
      </c>
      <c r="G551" s="4">
        <f t="shared" si="8"/>
        <v>1</v>
      </c>
      <c r="J551" s="2" t="s">
        <v>2241</v>
      </c>
      <c r="L551" s="16">
        <v>48.756739433500002</v>
      </c>
      <c r="M551" s="7">
        <v>2.3683646986300002</v>
      </c>
      <c r="N551" s="4" t="str">
        <f>VLOOKUP(C551,CHECKS!A:I,9,FALSE)</f>
        <v>#704B1C</v>
      </c>
      <c r="O551" s="4">
        <f>VLOOKUP(C551,CHECKS!A:I,6,FALSE)</f>
        <v>1.82</v>
      </c>
      <c r="P551" s="4">
        <f>VLOOKUP(C551,CHECKS!A:I,7,FALSE)</f>
        <v>4</v>
      </c>
      <c r="Q551" s="4">
        <f>VLOOKUP(C551,CHECKS!A:I,8,FALSE)</f>
        <v>7</v>
      </c>
      <c r="R551">
        <v>549</v>
      </c>
      <c r="U551" s="15"/>
      <c r="V551" s="15"/>
    </row>
    <row r="552" spans="1:22" x14ac:dyDescent="0.2">
      <c r="A552" s="4">
        <v>5510</v>
      </c>
      <c r="B552" s="2" t="s">
        <v>2140</v>
      </c>
      <c r="C552" s="4" t="s">
        <v>1945</v>
      </c>
      <c r="D552" s="2" t="s">
        <v>2004</v>
      </c>
      <c r="E552" s="2" t="s">
        <v>2141</v>
      </c>
      <c r="F552" s="2" t="s">
        <v>2004</v>
      </c>
      <c r="G552" s="4">
        <f t="shared" si="8"/>
        <v>1</v>
      </c>
      <c r="J552" s="2" t="s">
        <v>2271</v>
      </c>
      <c r="L552" s="16">
        <v>48.752811359699997</v>
      </c>
      <c r="M552" s="7">
        <v>2.3619521525799998</v>
      </c>
      <c r="N552" s="4" t="str">
        <f>VLOOKUP(C552,CHECKS!A:I,9,FALSE)</f>
        <v>#704B1C</v>
      </c>
      <c r="O552" s="4">
        <f>VLOOKUP(C552,CHECKS!A:I,6,FALSE)</f>
        <v>1.82</v>
      </c>
      <c r="P552" s="4">
        <f>VLOOKUP(C552,CHECKS!A:I,7,FALSE)</f>
        <v>4</v>
      </c>
      <c r="Q552" s="4">
        <f>VLOOKUP(C552,CHECKS!A:I,8,FALSE)</f>
        <v>7</v>
      </c>
      <c r="R552">
        <v>550</v>
      </c>
      <c r="U552" s="15"/>
      <c r="V552" s="15"/>
    </row>
    <row r="553" spans="1:22" x14ac:dyDescent="0.2">
      <c r="A553" s="4">
        <v>5520</v>
      </c>
      <c r="B553" s="2" t="s">
        <v>2142</v>
      </c>
      <c r="C553" s="4" t="s">
        <v>1945</v>
      </c>
      <c r="D553" s="2" t="s">
        <v>2005</v>
      </c>
      <c r="E553" s="2" t="s">
        <v>2143</v>
      </c>
      <c r="F553" s="2" t="s">
        <v>2005</v>
      </c>
      <c r="G553" s="4">
        <f t="shared" si="8"/>
        <v>1</v>
      </c>
      <c r="J553" s="2" t="s">
        <v>2272</v>
      </c>
      <c r="L553" s="16">
        <v>48.752674351800003</v>
      </c>
      <c r="M553" s="7">
        <v>2.3553609890799998</v>
      </c>
      <c r="N553" s="4" t="str">
        <f>VLOOKUP(C553,CHECKS!A:I,9,FALSE)</f>
        <v>#704B1C</v>
      </c>
      <c r="O553" s="4">
        <f>VLOOKUP(C553,CHECKS!A:I,6,FALSE)</f>
        <v>1.82</v>
      </c>
      <c r="P553" s="4">
        <f>VLOOKUP(C553,CHECKS!A:I,7,FALSE)</f>
        <v>4</v>
      </c>
      <c r="Q553" s="4">
        <f>VLOOKUP(C553,CHECKS!A:I,8,FALSE)</f>
        <v>7</v>
      </c>
      <c r="R553">
        <v>551</v>
      </c>
      <c r="U553" s="15"/>
      <c r="V553" s="15"/>
    </row>
    <row r="554" spans="1:22" x14ac:dyDescent="0.2">
      <c r="A554" s="4">
        <v>5530</v>
      </c>
      <c r="B554" s="2" t="s">
        <v>2144</v>
      </c>
      <c r="C554" s="4" t="s">
        <v>1945</v>
      </c>
      <c r="D554" s="2" t="s">
        <v>2006</v>
      </c>
      <c r="E554" s="2" t="s">
        <v>2145</v>
      </c>
      <c r="F554" s="2" t="s">
        <v>2006</v>
      </c>
      <c r="G554" s="4">
        <f t="shared" si="8"/>
        <v>1</v>
      </c>
      <c r="J554" s="2" t="s">
        <v>2279</v>
      </c>
      <c r="L554" s="16">
        <v>48.750174037100003</v>
      </c>
      <c r="M554" s="7">
        <v>2.3543672791499999</v>
      </c>
      <c r="N554" s="4" t="str">
        <f>VLOOKUP(C554,CHECKS!A:I,9,FALSE)</f>
        <v>#704B1C</v>
      </c>
      <c r="O554" s="4">
        <f>VLOOKUP(C554,CHECKS!A:I,6,FALSE)</f>
        <v>1.82</v>
      </c>
      <c r="P554" s="4">
        <f>VLOOKUP(C554,CHECKS!A:I,7,FALSE)</f>
        <v>4</v>
      </c>
      <c r="Q554" s="4">
        <f>VLOOKUP(C554,CHECKS!A:I,8,FALSE)</f>
        <v>7</v>
      </c>
      <c r="R554">
        <v>552</v>
      </c>
      <c r="U554" s="15"/>
      <c r="V554" s="15"/>
    </row>
    <row r="555" spans="1:22" x14ac:dyDescent="0.2">
      <c r="A555" s="4">
        <v>5540</v>
      </c>
      <c r="B555" s="2" t="s">
        <v>2146</v>
      </c>
      <c r="C555" s="4" t="s">
        <v>1945</v>
      </c>
      <c r="D555" s="2" t="s">
        <v>2007</v>
      </c>
      <c r="E555" s="2" t="s">
        <v>2147</v>
      </c>
      <c r="F555" s="2" t="s">
        <v>2007</v>
      </c>
      <c r="G555" s="4">
        <f t="shared" si="8"/>
        <v>1</v>
      </c>
      <c r="J555" s="2" t="s">
        <v>2274</v>
      </c>
      <c r="L555" s="16">
        <v>48.746568586599999</v>
      </c>
      <c r="M555" s="7">
        <v>2.3528753413399999</v>
      </c>
      <c r="N555" s="4" t="str">
        <f>VLOOKUP(C555,CHECKS!A:I,9,FALSE)</f>
        <v>#704B1C</v>
      </c>
      <c r="O555" s="4">
        <f>VLOOKUP(C555,CHECKS!A:I,6,FALSE)</f>
        <v>1.82</v>
      </c>
      <c r="P555" s="4">
        <f>VLOOKUP(C555,CHECKS!A:I,7,FALSE)</f>
        <v>4</v>
      </c>
      <c r="Q555" s="4">
        <f>VLOOKUP(C555,CHECKS!A:I,8,FALSE)</f>
        <v>7</v>
      </c>
      <c r="R555">
        <v>553</v>
      </c>
      <c r="U555" s="15"/>
      <c r="V555" s="15"/>
    </row>
    <row r="556" spans="1:22" x14ac:dyDescent="0.2">
      <c r="A556" s="4">
        <v>5550</v>
      </c>
      <c r="B556" s="2" t="s">
        <v>2148</v>
      </c>
      <c r="C556" s="4" t="s">
        <v>1945</v>
      </c>
      <c r="D556" s="2" t="s">
        <v>2008</v>
      </c>
      <c r="E556" s="2" t="s">
        <v>2149</v>
      </c>
      <c r="F556" s="2" t="s">
        <v>2008</v>
      </c>
      <c r="G556" s="4">
        <f t="shared" si="8"/>
        <v>1</v>
      </c>
      <c r="J556" s="2" t="s">
        <v>2242</v>
      </c>
      <c r="L556" s="16">
        <v>48.741684493100003</v>
      </c>
      <c r="M556" s="7">
        <v>2.35279538131</v>
      </c>
      <c r="N556" s="4" t="str">
        <f>VLOOKUP(C556,CHECKS!A:I,9,FALSE)</f>
        <v>#704B1C</v>
      </c>
      <c r="O556" s="4">
        <f>VLOOKUP(C556,CHECKS!A:I,6,FALSE)</f>
        <v>1.82</v>
      </c>
      <c r="P556" s="4">
        <f>VLOOKUP(C556,CHECKS!A:I,7,FALSE)</f>
        <v>4</v>
      </c>
      <c r="Q556" s="4">
        <f>VLOOKUP(C556,CHECKS!A:I,8,FALSE)</f>
        <v>7</v>
      </c>
      <c r="R556">
        <v>554</v>
      </c>
      <c r="U556" s="15"/>
      <c r="V556" s="15"/>
    </row>
    <row r="557" spans="1:22" x14ac:dyDescent="0.2">
      <c r="A557" s="4">
        <v>5560</v>
      </c>
      <c r="B557" s="2" t="s">
        <v>2150</v>
      </c>
      <c r="C557" s="4" t="s">
        <v>1945</v>
      </c>
      <c r="D557" s="2" t="s">
        <v>2009</v>
      </c>
      <c r="E557" s="2" t="s">
        <v>2151</v>
      </c>
      <c r="F557" s="2" t="s">
        <v>2009</v>
      </c>
      <c r="G557" s="4">
        <f t="shared" si="8"/>
        <v>1</v>
      </c>
      <c r="J557" s="2" t="s">
        <v>2234</v>
      </c>
      <c r="L557" s="16">
        <v>48.739987430399999</v>
      </c>
      <c r="M557" s="7">
        <v>2.3594678211</v>
      </c>
      <c r="N557" s="4" t="str">
        <f>VLOOKUP(C557,CHECKS!A:I,9,FALSE)</f>
        <v>#704B1C</v>
      </c>
      <c r="O557" s="4">
        <f>VLOOKUP(C557,CHECKS!A:I,6,FALSE)</f>
        <v>1.82</v>
      </c>
      <c r="P557" s="4">
        <f>VLOOKUP(C557,CHECKS!A:I,7,FALSE)</f>
        <v>4</v>
      </c>
      <c r="Q557" s="4">
        <f>VLOOKUP(C557,CHECKS!A:I,8,FALSE)</f>
        <v>7</v>
      </c>
      <c r="R557">
        <v>555</v>
      </c>
      <c r="U557" s="15"/>
      <c r="V557" s="15"/>
    </row>
    <row r="558" spans="1:22" x14ac:dyDescent="0.2">
      <c r="A558" s="4">
        <v>5570</v>
      </c>
      <c r="B558" s="2" t="s">
        <v>2152</v>
      </c>
      <c r="C558" s="4" t="s">
        <v>1945</v>
      </c>
      <c r="D558" s="2" t="s">
        <v>2010</v>
      </c>
      <c r="E558" s="2" t="s">
        <v>2153</v>
      </c>
      <c r="F558" s="2" t="s">
        <v>2010</v>
      </c>
      <c r="G558" s="4">
        <f t="shared" si="8"/>
        <v>1</v>
      </c>
      <c r="J558" s="2" t="s">
        <v>2216</v>
      </c>
      <c r="L558" s="16">
        <v>48.738562777299997</v>
      </c>
      <c r="M558" s="7">
        <v>2.3699101466800001</v>
      </c>
      <c r="N558" s="4" t="str">
        <f>VLOOKUP(C558,CHECKS!A:I,9,FALSE)</f>
        <v>#704B1C</v>
      </c>
      <c r="O558" s="4">
        <f>VLOOKUP(C558,CHECKS!A:I,6,FALSE)</f>
        <v>1.82</v>
      </c>
      <c r="P558" s="4">
        <f>VLOOKUP(C558,CHECKS!A:I,7,FALSE)</f>
        <v>4</v>
      </c>
      <c r="Q558" s="4">
        <f>VLOOKUP(C558,CHECKS!A:I,8,FALSE)</f>
        <v>7</v>
      </c>
      <c r="R558">
        <v>556</v>
      </c>
      <c r="U558" s="15"/>
      <c r="V558" s="15"/>
    </row>
    <row r="559" spans="1:22" x14ac:dyDescent="0.2">
      <c r="A559" s="4">
        <v>5580</v>
      </c>
      <c r="B559" s="2" t="s">
        <v>2154</v>
      </c>
      <c r="C559" s="4" t="s">
        <v>1945</v>
      </c>
      <c r="D559" s="2" t="s">
        <v>2011</v>
      </c>
      <c r="E559" s="2" t="s">
        <v>2155</v>
      </c>
      <c r="F559" s="2" t="s">
        <v>2011</v>
      </c>
      <c r="G559" s="4">
        <f t="shared" si="8"/>
        <v>1</v>
      </c>
      <c r="J559" s="2" t="s">
        <v>2220</v>
      </c>
      <c r="L559" s="16">
        <v>48.734088162100001</v>
      </c>
      <c r="M559" s="7">
        <v>2.3712503762199999</v>
      </c>
      <c r="N559" s="4" t="str">
        <f>VLOOKUP(C559,CHECKS!A:I,9,FALSE)</f>
        <v>#704B1C</v>
      </c>
      <c r="O559" s="4">
        <f>VLOOKUP(C559,CHECKS!A:I,6,FALSE)</f>
        <v>1.82</v>
      </c>
      <c r="P559" s="4">
        <f>VLOOKUP(C559,CHECKS!A:I,7,FALSE)</f>
        <v>4</v>
      </c>
      <c r="Q559" s="4">
        <f>VLOOKUP(C559,CHECKS!A:I,8,FALSE)</f>
        <v>7</v>
      </c>
      <c r="R559">
        <v>557</v>
      </c>
      <c r="U559" s="15"/>
      <c r="V559" s="15"/>
    </row>
    <row r="560" spans="1:22" x14ac:dyDescent="0.2">
      <c r="A560" s="4">
        <v>5590</v>
      </c>
      <c r="B560" s="2" t="s">
        <v>2156</v>
      </c>
      <c r="C560" s="4" t="s">
        <v>1945</v>
      </c>
      <c r="D560" s="2" t="s">
        <v>2012</v>
      </c>
      <c r="E560" s="2" t="s">
        <v>2157</v>
      </c>
      <c r="F560" s="2" t="s">
        <v>2012</v>
      </c>
      <c r="G560" s="4">
        <f t="shared" si="8"/>
        <v>1</v>
      </c>
      <c r="J560" s="2" t="s">
        <v>2206</v>
      </c>
      <c r="L560" s="16">
        <v>48.729550722699997</v>
      </c>
      <c r="M560" s="7">
        <v>2.3682641286199999</v>
      </c>
      <c r="N560" s="4" t="str">
        <f>VLOOKUP(C560,CHECKS!A:I,9,FALSE)</f>
        <v>#704B1C</v>
      </c>
      <c r="O560" s="4">
        <f>VLOOKUP(C560,CHECKS!A:I,6,FALSE)</f>
        <v>1.82</v>
      </c>
      <c r="P560" s="4">
        <f>VLOOKUP(C560,CHECKS!A:I,7,FALSE)</f>
        <v>4</v>
      </c>
      <c r="Q560" s="4">
        <f>VLOOKUP(C560,CHECKS!A:I,8,FALSE)</f>
        <v>7</v>
      </c>
      <c r="R560">
        <v>558</v>
      </c>
      <c r="U560" s="15"/>
      <c r="V560" s="15"/>
    </row>
    <row r="561" spans="1:22" x14ac:dyDescent="0.2">
      <c r="A561" s="4">
        <v>5600</v>
      </c>
      <c r="B561" s="2" t="s">
        <v>2158</v>
      </c>
      <c r="C561" s="4" t="s">
        <v>1945</v>
      </c>
      <c r="D561" s="2" t="s">
        <v>2013</v>
      </c>
      <c r="E561" s="2" t="s">
        <v>2156</v>
      </c>
      <c r="F561" s="2" t="s">
        <v>2013</v>
      </c>
      <c r="G561" s="4">
        <f t="shared" si="8"/>
        <v>1</v>
      </c>
      <c r="J561" s="2" t="s">
        <v>2012</v>
      </c>
      <c r="L561" s="16">
        <v>48.714512725299997</v>
      </c>
      <c r="M561" s="7">
        <v>2.3717471434599999</v>
      </c>
      <c r="N561" s="4" t="str">
        <f>VLOOKUP(C561,CHECKS!A:I,9,FALSE)</f>
        <v>#704B1C</v>
      </c>
      <c r="O561" s="4">
        <f>VLOOKUP(C561,CHECKS!A:I,6,FALSE)</f>
        <v>1.82</v>
      </c>
      <c r="P561" s="4">
        <f>VLOOKUP(C561,CHECKS!A:I,7,FALSE)</f>
        <v>4</v>
      </c>
      <c r="Q561" s="4">
        <f>VLOOKUP(C561,CHECKS!A:I,8,FALSE)</f>
        <v>7</v>
      </c>
      <c r="R561">
        <v>559</v>
      </c>
      <c r="U561" s="15"/>
      <c r="V561" s="15"/>
    </row>
    <row r="562" spans="1:22" x14ac:dyDescent="0.2">
      <c r="A562" s="4">
        <v>5610</v>
      </c>
      <c r="B562" s="2" t="s">
        <v>2159</v>
      </c>
      <c r="C562" s="4" t="s">
        <v>1947</v>
      </c>
      <c r="D562" s="2" t="s">
        <v>2014</v>
      </c>
      <c r="E562" s="2" t="s">
        <v>2160</v>
      </c>
      <c r="F562" s="2" t="s">
        <v>2014</v>
      </c>
      <c r="G562" s="4">
        <f t="shared" si="8"/>
        <v>1</v>
      </c>
      <c r="J562" s="2" t="s">
        <v>2015</v>
      </c>
      <c r="L562" s="16">
        <v>48.9555044771</v>
      </c>
      <c r="M562" s="7">
        <v>2.2955916949000001</v>
      </c>
      <c r="N562" s="4" t="str">
        <f>VLOOKUP(C562,CHECKS!A:I,9,FALSE)</f>
        <v>#837902</v>
      </c>
      <c r="O562" s="4">
        <f>VLOOKUP(C562,CHECKS!A:I,6,FALSE)</f>
        <v>2</v>
      </c>
      <c r="P562" s="4">
        <f>VLOOKUP(C562,CHECKS!A:I,7,FALSE)</f>
        <v>4</v>
      </c>
      <c r="Q562" s="4">
        <f>VLOOKUP(C562,CHECKS!A:I,8,FALSE)</f>
        <v>7</v>
      </c>
      <c r="R562">
        <v>560</v>
      </c>
      <c r="U562" s="15"/>
      <c r="V562" s="15"/>
    </row>
    <row r="563" spans="1:22" x14ac:dyDescent="0.2">
      <c r="A563" s="4">
        <v>5620</v>
      </c>
      <c r="B563" s="2" t="s">
        <v>2160</v>
      </c>
      <c r="C563" s="4" t="s">
        <v>1947</v>
      </c>
      <c r="D563" s="2" t="s">
        <v>2015</v>
      </c>
      <c r="E563" s="2" t="s">
        <v>2161</v>
      </c>
      <c r="F563" s="2" t="s">
        <v>2015</v>
      </c>
      <c r="G563" s="4">
        <f t="shared" si="8"/>
        <v>2</v>
      </c>
      <c r="H563" s="2" t="s">
        <v>2190</v>
      </c>
      <c r="J563" s="2" t="s">
        <v>2227</v>
      </c>
      <c r="K563" s="2" t="s">
        <v>2015</v>
      </c>
      <c r="L563" s="16">
        <v>48.955843047499997</v>
      </c>
      <c r="M563" s="7">
        <v>2.3022227418100001</v>
      </c>
      <c r="N563" s="4" t="str">
        <f>VLOOKUP(C563,CHECKS!A:I,9,FALSE)</f>
        <v>#837902</v>
      </c>
      <c r="O563" s="4">
        <f>VLOOKUP(C563,CHECKS!A:I,6,FALSE)</f>
        <v>2</v>
      </c>
      <c r="P563" s="4">
        <f>VLOOKUP(C563,CHECKS!A:I,7,FALSE)</f>
        <v>4</v>
      </c>
      <c r="Q563" s="4">
        <f>VLOOKUP(C563,CHECKS!A:I,8,FALSE)</f>
        <v>7</v>
      </c>
      <c r="R563">
        <v>561</v>
      </c>
      <c r="U563" s="15"/>
      <c r="V563" s="15"/>
    </row>
    <row r="564" spans="1:22" x14ac:dyDescent="0.2">
      <c r="A564" s="4">
        <v>5630</v>
      </c>
      <c r="B564" s="2" t="s">
        <v>2162</v>
      </c>
      <c r="C564" s="4" t="s">
        <v>1947</v>
      </c>
      <c r="D564" s="2" t="s">
        <v>2016</v>
      </c>
      <c r="E564" s="2" t="s">
        <v>2163</v>
      </c>
      <c r="F564" s="2" t="s">
        <v>2016</v>
      </c>
      <c r="G564" s="4">
        <f t="shared" si="8"/>
        <v>1</v>
      </c>
      <c r="J564" s="2" t="s">
        <v>2232</v>
      </c>
      <c r="L564" s="16">
        <v>48.955437426099998</v>
      </c>
      <c r="M564" s="7">
        <v>2.3078725683500001</v>
      </c>
      <c r="N564" s="4" t="str">
        <f>VLOOKUP(C564,CHECKS!A:I,9,FALSE)</f>
        <v>#837902</v>
      </c>
      <c r="O564" s="4">
        <f>VLOOKUP(C564,CHECKS!A:I,6,FALSE)</f>
        <v>2</v>
      </c>
      <c r="P564" s="4">
        <f>VLOOKUP(C564,CHECKS!A:I,7,FALSE)</f>
        <v>4</v>
      </c>
      <c r="Q564" s="4">
        <f>VLOOKUP(C564,CHECKS!A:I,8,FALSE)</f>
        <v>7</v>
      </c>
      <c r="R564">
        <v>562</v>
      </c>
      <c r="U564" s="15"/>
      <c r="V564" s="15"/>
    </row>
    <row r="565" spans="1:22" x14ac:dyDescent="0.2">
      <c r="A565" s="4">
        <v>5640</v>
      </c>
      <c r="B565" s="2" t="s">
        <v>2164</v>
      </c>
      <c r="C565" s="4" t="s">
        <v>1947</v>
      </c>
      <c r="D565" s="2" t="s">
        <v>2017</v>
      </c>
      <c r="E565" s="2" t="s">
        <v>2165</v>
      </c>
      <c r="F565" s="2" t="s">
        <v>2017</v>
      </c>
      <c r="G565" s="4">
        <f t="shared" si="8"/>
        <v>1</v>
      </c>
      <c r="J565" s="2" t="s">
        <v>2245</v>
      </c>
      <c r="L565" s="16">
        <v>48.9558768749</v>
      </c>
      <c r="M565" s="7">
        <v>2.31152630869</v>
      </c>
      <c r="N565" s="4" t="str">
        <f>VLOOKUP(C565,CHECKS!A:I,9,FALSE)</f>
        <v>#837902</v>
      </c>
      <c r="O565" s="4">
        <f>VLOOKUP(C565,CHECKS!A:I,6,FALSE)</f>
        <v>2</v>
      </c>
      <c r="P565" s="4">
        <f>VLOOKUP(C565,CHECKS!A:I,7,FALSE)</f>
        <v>4</v>
      </c>
      <c r="Q565" s="4">
        <f>VLOOKUP(C565,CHECKS!A:I,8,FALSE)</f>
        <v>7</v>
      </c>
      <c r="R565">
        <v>563</v>
      </c>
      <c r="U565" s="15"/>
      <c r="V565" s="15"/>
    </row>
    <row r="566" spans="1:22" x14ac:dyDescent="0.2">
      <c r="A566" s="4">
        <v>5650</v>
      </c>
      <c r="B566" s="2" t="s">
        <v>2166</v>
      </c>
      <c r="C566" s="4" t="s">
        <v>1947</v>
      </c>
      <c r="D566" s="2" t="s">
        <v>2018</v>
      </c>
      <c r="E566" s="2" t="s">
        <v>2167</v>
      </c>
      <c r="F566" s="2" t="s">
        <v>2018</v>
      </c>
      <c r="G566" s="4">
        <f t="shared" si="8"/>
        <v>1</v>
      </c>
      <c r="J566" s="2" t="s">
        <v>2277</v>
      </c>
      <c r="L566" s="16">
        <v>48.953168246799997</v>
      </c>
      <c r="M566" s="7">
        <v>2.3154036121099999</v>
      </c>
      <c r="N566" s="4" t="str">
        <f>VLOOKUP(C566,CHECKS!A:I,9,FALSE)</f>
        <v>#837902</v>
      </c>
      <c r="O566" s="4">
        <f>VLOOKUP(C566,CHECKS!A:I,6,FALSE)</f>
        <v>2</v>
      </c>
      <c r="P566" s="4">
        <f>VLOOKUP(C566,CHECKS!A:I,7,FALSE)</f>
        <v>4</v>
      </c>
      <c r="Q566" s="4">
        <f>VLOOKUP(C566,CHECKS!A:I,8,FALSE)</f>
        <v>7</v>
      </c>
      <c r="R566">
        <v>564</v>
      </c>
      <c r="U566" s="15"/>
      <c r="V566" s="15"/>
    </row>
    <row r="567" spans="1:22" x14ac:dyDescent="0.2">
      <c r="A567" s="4">
        <v>5660</v>
      </c>
      <c r="B567" s="2" t="s">
        <v>2168</v>
      </c>
      <c r="C567" s="4" t="s">
        <v>1947</v>
      </c>
      <c r="D567" s="2" t="s">
        <v>2019</v>
      </c>
      <c r="E567" s="2" t="s">
        <v>2169</v>
      </c>
      <c r="F567" s="2" t="s">
        <v>2019</v>
      </c>
      <c r="G567" s="4">
        <f t="shared" si="8"/>
        <v>1</v>
      </c>
      <c r="J567" s="2" t="s">
        <v>2247</v>
      </c>
      <c r="L567" s="16">
        <v>48.951708783599997</v>
      </c>
      <c r="M567" s="7">
        <v>2.3202165216699999</v>
      </c>
      <c r="N567" s="4" t="str">
        <f>VLOOKUP(C567,CHECKS!A:I,9,FALSE)</f>
        <v>#837902</v>
      </c>
      <c r="O567" s="4">
        <f>VLOOKUP(C567,CHECKS!A:I,6,FALSE)</f>
        <v>2</v>
      </c>
      <c r="P567" s="4">
        <f>VLOOKUP(C567,CHECKS!A:I,7,FALSE)</f>
        <v>4</v>
      </c>
      <c r="Q567" s="4">
        <f>VLOOKUP(C567,CHECKS!A:I,8,FALSE)</f>
        <v>7</v>
      </c>
      <c r="R567">
        <v>565</v>
      </c>
      <c r="U567" s="15"/>
      <c r="V567" s="15"/>
    </row>
    <row r="568" spans="1:22" x14ac:dyDescent="0.2">
      <c r="A568" s="4">
        <v>5670</v>
      </c>
      <c r="B568" s="2" t="s">
        <v>2170</v>
      </c>
      <c r="C568" s="4" t="s">
        <v>1947</v>
      </c>
      <c r="D568" s="2" t="s">
        <v>2020</v>
      </c>
      <c r="E568" s="2" t="s">
        <v>2171</v>
      </c>
      <c r="F568" s="2" t="s">
        <v>2020</v>
      </c>
      <c r="G568" s="4">
        <f t="shared" si="8"/>
        <v>1</v>
      </c>
      <c r="J568" s="2" t="s">
        <v>2251</v>
      </c>
      <c r="L568" s="16">
        <v>48.949937735699997</v>
      </c>
      <c r="M568" s="7">
        <v>2.3288321713500002</v>
      </c>
      <c r="N568" s="4" t="str">
        <f>VLOOKUP(C568,CHECKS!A:I,9,FALSE)</f>
        <v>#837902</v>
      </c>
      <c r="O568" s="4">
        <f>VLOOKUP(C568,CHECKS!A:I,6,FALSE)</f>
        <v>2</v>
      </c>
      <c r="P568" s="4">
        <f>VLOOKUP(C568,CHECKS!A:I,7,FALSE)</f>
        <v>4</v>
      </c>
      <c r="Q568" s="4">
        <f>VLOOKUP(C568,CHECKS!A:I,8,FALSE)</f>
        <v>7</v>
      </c>
      <c r="R568">
        <v>566</v>
      </c>
      <c r="U568" s="15"/>
      <c r="V568" s="15"/>
    </row>
    <row r="569" spans="1:22" x14ac:dyDescent="0.2">
      <c r="A569" s="4">
        <v>5680</v>
      </c>
      <c r="B569" s="2" t="s">
        <v>2172</v>
      </c>
      <c r="C569" s="4" t="s">
        <v>1947</v>
      </c>
      <c r="D569" s="2" t="s">
        <v>2021</v>
      </c>
      <c r="E569" s="2" t="s">
        <v>2173</v>
      </c>
      <c r="F569" s="2" t="s">
        <v>2021</v>
      </c>
      <c r="G569" s="4">
        <f t="shared" si="8"/>
        <v>1</v>
      </c>
      <c r="J569" s="2" t="s">
        <v>2213</v>
      </c>
      <c r="L569" s="16">
        <v>48.947807649600001</v>
      </c>
      <c r="M569" s="7">
        <v>2.3391809234199998</v>
      </c>
      <c r="N569" s="4" t="str">
        <f>VLOOKUP(C569,CHECKS!A:I,9,FALSE)</f>
        <v>#837902</v>
      </c>
      <c r="O569" s="4">
        <f>VLOOKUP(C569,CHECKS!A:I,6,FALSE)</f>
        <v>2</v>
      </c>
      <c r="P569" s="4">
        <f>VLOOKUP(C569,CHECKS!A:I,7,FALSE)</f>
        <v>4</v>
      </c>
      <c r="Q569" s="4">
        <f>VLOOKUP(C569,CHECKS!A:I,8,FALSE)</f>
        <v>7</v>
      </c>
      <c r="R569">
        <v>567</v>
      </c>
      <c r="U569" s="15"/>
      <c r="V569" s="15"/>
    </row>
    <row r="570" spans="1:22" x14ac:dyDescent="0.2">
      <c r="A570" s="4">
        <v>5690</v>
      </c>
      <c r="B570" s="2" t="s">
        <v>2174</v>
      </c>
      <c r="C570" s="4" t="s">
        <v>1947</v>
      </c>
      <c r="D570" s="2" t="s">
        <v>2022</v>
      </c>
      <c r="E570" s="2" t="s">
        <v>2175</v>
      </c>
      <c r="F570" s="2" t="s">
        <v>2022</v>
      </c>
      <c r="G570" s="4">
        <f t="shared" si="8"/>
        <v>1</v>
      </c>
      <c r="J570" s="2" t="s">
        <v>2221</v>
      </c>
      <c r="L570" s="16">
        <v>48.945555539200001</v>
      </c>
      <c r="M570" s="7">
        <v>2.3473129251699998</v>
      </c>
      <c r="N570" s="4" t="str">
        <f>VLOOKUP(C570,CHECKS!A:I,9,FALSE)</f>
        <v>#837902</v>
      </c>
      <c r="O570" s="4">
        <f>VLOOKUP(C570,CHECKS!A:I,6,FALSE)</f>
        <v>2</v>
      </c>
      <c r="P570" s="4">
        <f>VLOOKUP(C570,CHECKS!A:I,7,FALSE)</f>
        <v>4</v>
      </c>
      <c r="Q570" s="4">
        <f>VLOOKUP(C570,CHECKS!A:I,8,FALSE)</f>
        <v>7</v>
      </c>
      <c r="R570">
        <v>568</v>
      </c>
      <c r="U570" s="15"/>
      <c r="V570" s="15"/>
    </row>
    <row r="571" spans="1:22" x14ac:dyDescent="0.2">
      <c r="A571" s="4">
        <v>5700</v>
      </c>
      <c r="B571" s="2" t="s">
        <v>2176</v>
      </c>
      <c r="C571" s="4" t="s">
        <v>1947</v>
      </c>
      <c r="D571" s="2" t="s">
        <v>2023</v>
      </c>
      <c r="E571" s="2" t="s">
        <v>2177</v>
      </c>
      <c r="F571" s="2" t="s">
        <v>2023</v>
      </c>
      <c r="G571" s="4">
        <f t="shared" si="8"/>
        <v>2</v>
      </c>
      <c r="H571" s="2" t="s">
        <v>2193</v>
      </c>
      <c r="J571" s="2" t="s">
        <v>2024</v>
      </c>
      <c r="K571" s="2" t="s">
        <v>2023</v>
      </c>
      <c r="L571" s="16">
        <v>48.959318144199997</v>
      </c>
      <c r="M571" s="7">
        <v>2.3420538013900001</v>
      </c>
      <c r="N571" s="4" t="str">
        <f>VLOOKUP(C571,CHECKS!A:I,9,FALSE)</f>
        <v>#837902</v>
      </c>
      <c r="O571" s="4">
        <f>VLOOKUP(C571,CHECKS!A:I,6,FALSE)</f>
        <v>2</v>
      </c>
      <c r="P571" s="4">
        <f>VLOOKUP(C571,CHECKS!A:I,7,FALSE)</f>
        <v>4</v>
      </c>
      <c r="Q571" s="4">
        <f>VLOOKUP(C571,CHECKS!A:I,8,FALSE)</f>
        <v>7</v>
      </c>
      <c r="R571">
        <v>569</v>
      </c>
      <c r="U571" s="15"/>
      <c r="V571" s="15"/>
    </row>
    <row r="572" spans="1:22" x14ac:dyDescent="0.2">
      <c r="A572" s="4">
        <v>5710</v>
      </c>
      <c r="B572" s="2" t="s">
        <v>2177</v>
      </c>
      <c r="C572" s="4" t="s">
        <v>1947</v>
      </c>
      <c r="D572" s="2" t="s">
        <v>2024</v>
      </c>
      <c r="E572" s="2" t="s">
        <v>2178</v>
      </c>
      <c r="F572" s="2" t="s">
        <v>2024</v>
      </c>
      <c r="G572" s="4">
        <f t="shared" si="8"/>
        <v>1</v>
      </c>
      <c r="J572" s="2" t="s">
        <v>2263</v>
      </c>
      <c r="L572" s="16">
        <v>48.956671845999999</v>
      </c>
      <c r="M572" s="7">
        <v>2.3431092357300001</v>
      </c>
      <c r="N572" s="4" t="str">
        <f>VLOOKUP(C572,CHECKS!A:I,9,FALSE)</f>
        <v>#837902</v>
      </c>
      <c r="O572" s="4">
        <f>VLOOKUP(C572,CHECKS!A:I,6,FALSE)</f>
        <v>2</v>
      </c>
      <c r="P572" s="4">
        <f>VLOOKUP(C572,CHECKS!A:I,7,FALSE)</f>
        <v>4</v>
      </c>
      <c r="Q572" s="4">
        <f>VLOOKUP(C572,CHECKS!A:I,8,FALSE)</f>
        <v>7</v>
      </c>
      <c r="R572">
        <v>570</v>
      </c>
      <c r="U572" s="15"/>
      <c r="V572" s="15"/>
    </row>
    <row r="573" spans="1:22" x14ac:dyDescent="0.2">
      <c r="A573" s="4">
        <v>5720</v>
      </c>
      <c r="B573" s="2" t="s">
        <v>2179</v>
      </c>
      <c r="C573" s="4" t="s">
        <v>1947</v>
      </c>
      <c r="D573" s="2" t="s">
        <v>2025</v>
      </c>
      <c r="E573" s="2" t="s">
        <v>2180</v>
      </c>
      <c r="F573" s="2" t="s">
        <v>2025</v>
      </c>
      <c r="G573" s="4">
        <f t="shared" si="8"/>
        <v>1</v>
      </c>
      <c r="J573" s="2" t="s">
        <v>2239</v>
      </c>
      <c r="L573" s="16">
        <v>48.952726329900003</v>
      </c>
      <c r="M573" s="7">
        <v>2.3434612795300001</v>
      </c>
      <c r="N573" s="4" t="str">
        <f>VLOOKUP(C573,CHECKS!A:I,9,FALSE)</f>
        <v>#837902</v>
      </c>
      <c r="O573" s="4">
        <f>VLOOKUP(C573,CHECKS!A:I,6,FALSE)</f>
        <v>2</v>
      </c>
      <c r="P573" s="4">
        <f>VLOOKUP(C573,CHECKS!A:I,7,FALSE)</f>
        <v>4</v>
      </c>
      <c r="Q573" s="4">
        <f>VLOOKUP(C573,CHECKS!A:I,8,FALSE)</f>
        <v>7</v>
      </c>
      <c r="R573">
        <v>571</v>
      </c>
      <c r="U573" s="15"/>
      <c r="V573" s="15"/>
    </row>
    <row r="574" spans="1:22" x14ac:dyDescent="0.2">
      <c r="A574" s="4">
        <v>5730</v>
      </c>
      <c r="B574" s="2" t="s">
        <v>2181</v>
      </c>
      <c r="C574" s="4" t="s">
        <v>1947</v>
      </c>
      <c r="D574" s="2" t="s">
        <v>2026</v>
      </c>
      <c r="E574" s="2" t="s">
        <v>2182</v>
      </c>
      <c r="F574" s="2" t="s">
        <v>2026</v>
      </c>
      <c r="G574" s="4">
        <f t="shared" si="8"/>
        <v>1</v>
      </c>
      <c r="J574" s="2" t="s">
        <v>2219</v>
      </c>
      <c r="L574" s="16">
        <v>48.9495813451</v>
      </c>
      <c r="M574" s="7">
        <v>2.34252182604</v>
      </c>
      <c r="N574" s="4" t="str">
        <f>VLOOKUP(C574,CHECKS!A:I,9,FALSE)</f>
        <v>#837902</v>
      </c>
      <c r="O574" s="4">
        <f>VLOOKUP(C574,CHECKS!A:I,6,FALSE)</f>
        <v>2</v>
      </c>
      <c r="P574" s="4">
        <f>VLOOKUP(C574,CHECKS!A:I,7,FALSE)</f>
        <v>4</v>
      </c>
      <c r="Q574" s="4">
        <f>VLOOKUP(C574,CHECKS!A:I,8,FALSE)</f>
        <v>7</v>
      </c>
      <c r="R574">
        <v>572</v>
      </c>
      <c r="U574" s="15"/>
      <c r="V574" s="15"/>
    </row>
    <row r="575" spans="1:22" x14ac:dyDescent="0.2">
      <c r="A575" s="4">
        <v>5740</v>
      </c>
      <c r="B575" s="2" t="s">
        <v>2183</v>
      </c>
      <c r="C575" s="4" t="s">
        <v>1947</v>
      </c>
      <c r="D575" s="2" t="s">
        <v>2027</v>
      </c>
      <c r="E575" s="2" t="s">
        <v>2184</v>
      </c>
      <c r="F575" s="2" t="s">
        <v>2027</v>
      </c>
      <c r="G575" s="4">
        <f t="shared" si="8"/>
        <v>1</v>
      </c>
      <c r="J575" s="2" t="s">
        <v>2265</v>
      </c>
      <c r="L575" s="16">
        <v>48.939688708699997</v>
      </c>
      <c r="M575" s="7">
        <v>2.3452075059299999</v>
      </c>
      <c r="N575" s="4" t="str">
        <f>VLOOKUP(C575,CHECKS!A:I,9,FALSE)</f>
        <v>#837902</v>
      </c>
      <c r="O575" s="4">
        <f>VLOOKUP(C575,CHECKS!A:I,6,FALSE)</f>
        <v>2</v>
      </c>
      <c r="P575" s="4">
        <f>VLOOKUP(C575,CHECKS!A:I,7,FALSE)</f>
        <v>4</v>
      </c>
      <c r="Q575" s="4">
        <f>VLOOKUP(C575,CHECKS!A:I,8,FALSE)</f>
        <v>7</v>
      </c>
      <c r="R575">
        <v>573</v>
      </c>
      <c r="U575" s="15"/>
      <c r="V575" s="15"/>
    </row>
    <row r="576" spans="1:22" x14ac:dyDescent="0.2">
      <c r="A576" s="4">
        <v>5750</v>
      </c>
      <c r="B576" s="2" t="s">
        <v>2185</v>
      </c>
      <c r="C576" s="4" t="s">
        <v>1947</v>
      </c>
      <c r="D576" s="2" t="s">
        <v>1535</v>
      </c>
      <c r="E576" s="2" t="s">
        <v>2186</v>
      </c>
      <c r="F576" s="2" t="s">
        <v>1535</v>
      </c>
      <c r="G576" s="4">
        <f t="shared" si="8"/>
        <v>2</v>
      </c>
      <c r="H576" s="2" t="s">
        <v>1568</v>
      </c>
      <c r="J576" s="2" t="s">
        <v>2280</v>
      </c>
      <c r="K576" s="2" t="s">
        <v>1535</v>
      </c>
      <c r="L576" s="16">
        <v>48.9352661458</v>
      </c>
      <c r="M576" s="7">
        <v>2.3478624077600001</v>
      </c>
      <c r="N576" s="4" t="str">
        <f>VLOOKUP(C576,CHECKS!A:I,9,FALSE)</f>
        <v>#837902</v>
      </c>
      <c r="O576" s="4">
        <f>VLOOKUP(C576,CHECKS!A:I,6,FALSE)</f>
        <v>2</v>
      </c>
      <c r="P576" s="4">
        <f>VLOOKUP(C576,CHECKS!A:I,7,FALSE)</f>
        <v>4</v>
      </c>
      <c r="Q576" s="4">
        <f>VLOOKUP(C576,CHECKS!A:I,8,FALSE)</f>
        <v>7</v>
      </c>
      <c r="R576">
        <v>574</v>
      </c>
      <c r="U576" s="15"/>
      <c r="V576" s="15"/>
    </row>
    <row r="577" spans="1:22" x14ac:dyDescent="0.2">
      <c r="A577" s="4">
        <v>5760</v>
      </c>
      <c r="B577" s="2" t="s">
        <v>2187</v>
      </c>
      <c r="C577" s="4" t="s">
        <v>1947</v>
      </c>
      <c r="D577" s="2" t="s">
        <v>2028</v>
      </c>
      <c r="E577" s="2" t="s">
        <v>2188</v>
      </c>
      <c r="F577" s="2" t="s">
        <v>2028</v>
      </c>
      <c r="G577" s="4">
        <f t="shared" si="8"/>
        <v>1</v>
      </c>
      <c r="J577" s="2" t="s">
        <v>2269</v>
      </c>
      <c r="L577" s="16">
        <v>48.932051822699997</v>
      </c>
      <c r="M577" s="7">
        <v>2.3527019843899999</v>
      </c>
      <c r="N577" s="4" t="str">
        <f>VLOOKUP(C577,CHECKS!A:I,9,FALSE)</f>
        <v>#837902</v>
      </c>
      <c r="O577" s="4">
        <f>VLOOKUP(C577,CHECKS!A:I,6,FALSE)</f>
        <v>2</v>
      </c>
      <c r="P577" s="4">
        <f>VLOOKUP(C577,CHECKS!A:I,7,FALSE)</f>
        <v>4</v>
      </c>
      <c r="Q577" s="4">
        <f>VLOOKUP(C577,CHECKS!A:I,8,FALSE)</f>
        <v>7</v>
      </c>
      <c r="R577">
        <v>575</v>
      </c>
      <c r="U577" s="15"/>
      <c r="V577" s="15"/>
    </row>
    <row r="578" spans="1:22" x14ac:dyDescent="0.2">
      <c r="A578" s="4">
        <v>5770</v>
      </c>
      <c r="B578" s="2" t="s">
        <v>2189</v>
      </c>
      <c r="C578" s="4" t="s">
        <v>1947</v>
      </c>
      <c r="D578" s="2" t="s">
        <v>2029</v>
      </c>
      <c r="E578" s="2" t="s">
        <v>2187</v>
      </c>
      <c r="F578" s="2" t="s">
        <v>2029</v>
      </c>
      <c r="G578" s="4">
        <f t="shared" ref="G578:G641" si="9">COUNTIF(F:F,F578)</f>
        <v>2</v>
      </c>
      <c r="I578" s="2" t="s">
        <v>1013</v>
      </c>
      <c r="J578" s="2" t="s">
        <v>2028</v>
      </c>
      <c r="L578" s="16">
        <v>48.929816427399999</v>
      </c>
      <c r="M578" s="7">
        <v>2.3572920708799998</v>
      </c>
      <c r="N578" s="4" t="str">
        <f>VLOOKUP(C578,CHECKS!A:I,9,FALSE)</f>
        <v>#837902</v>
      </c>
      <c r="O578" s="4">
        <f>VLOOKUP(C578,CHECKS!A:I,6,FALSE)</f>
        <v>2</v>
      </c>
      <c r="P578" s="4">
        <f>VLOOKUP(C578,CHECKS!A:I,7,FALSE)</f>
        <v>4</v>
      </c>
      <c r="Q578" s="4">
        <f>VLOOKUP(C578,CHECKS!A:I,8,FALSE)</f>
        <v>7</v>
      </c>
      <c r="R578">
        <v>576</v>
      </c>
      <c r="U578" s="15"/>
      <c r="V578" s="15"/>
    </row>
    <row r="579" spans="1:22" x14ac:dyDescent="0.2">
      <c r="A579" s="4">
        <v>5780</v>
      </c>
      <c r="B579" s="2" t="s">
        <v>2190</v>
      </c>
      <c r="C579" s="4" t="s">
        <v>1946</v>
      </c>
      <c r="D579" s="2" t="s">
        <v>2015</v>
      </c>
      <c r="E579" s="2" t="s">
        <v>2191</v>
      </c>
      <c r="F579" s="2" t="s">
        <v>2015</v>
      </c>
      <c r="G579" s="4">
        <f t="shared" si="9"/>
        <v>2</v>
      </c>
      <c r="H579" s="2" t="s">
        <v>2160</v>
      </c>
      <c r="J579" s="2" t="s">
        <v>2030</v>
      </c>
      <c r="K579" s="2" t="s">
        <v>2015</v>
      </c>
      <c r="L579" s="16">
        <v>48.9545625628</v>
      </c>
      <c r="M579" s="7">
        <v>2.3023050820300002</v>
      </c>
      <c r="N579" s="4" t="str">
        <f>VLOOKUP(C579,CHECKS!A:I,9,FALSE)</f>
        <v>#E65E37</v>
      </c>
      <c r="O579" s="4">
        <f>VLOOKUP(C579,CHECKS!A:I,6,FALSE)</f>
        <v>2.5</v>
      </c>
      <c r="P579" s="4">
        <f>VLOOKUP(C579,CHECKS!A:I,7,FALSE)</f>
        <v>4</v>
      </c>
      <c r="Q579" s="4">
        <f>VLOOKUP(C579,CHECKS!A:I,8,FALSE)</f>
        <v>7</v>
      </c>
      <c r="R579">
        <v>577</v>
      </c>
      <c r="U579" s="15"/>
      <c r="V579" s="15"/>
    </row>
    <row r="580" spans="1:22" x14ac:dyDescent="0.2">
      <c r="A580" s="4">
        <v>5790</v>
      </c>
      <c r="B580" s="2" t="s">
        <v>2191</v>
      </c>
      <c r="C580" s="4" t="s">
        <v>1946</v>
      </c>
      <c r="D580" s="2" t="s">
        <v>2030</v>
      </c>
      <c r="E580" s="2" t="s">
        <v>2192</v>
      </c>
      <c r="F580" s="2" t="s">
        <v>2030</v>
      </c>
      <c r="G580" s="4">
        <f t="shared" si="9"/>
        <v>1</v>
      </c>
      <c r="J580" s="2" t="s">
        <v>2226</v>
      </c>
      <c r="L580" s="16">
        <v>48.959128020999998</v>
      </c>
      <c r="M580" s="7">
        <v>2.3292756997600002</v>
      </c>
      <c r="N580" s="4" t="str">
        <f>VLOOKUP(C580,CHECKS!A:I,9,FALSE)</f>
        <v>#E65E37</v>
      </c>
      <c r="O580" s="4">
        <f>VLOOKUP(C580,CHECKS!A:I,6,FALSE)</f>
        <v>2.5</v>
      </c>
      <c r="P580" s="4">
        <f>VLOOKUP(C580,CHECKS!A:I,7,FALSE)</f>
        <v>4</v>
      </c>
      <c r="Q580" s="4">
        <f>VLOOKUP(C580,CHECKS!A:I,8,FALSE)</f>
        <v>7</v>
      </c>
      <c r="R580">
        <v>578</v>
      </c>
      <c r="U580" s="15"/>
      <c r="V580" s="15"/>
    </row>
    <row r="581" spans="1:22" x14ac:dyDescent="0.2">
      <c r="A581" s="4">
        <v>5800</v>
      </c>
      <c r="B581" s="2" t="s">
        <v>2193</v>
      </c>
      <c r="C581" s="4" t="s">
        <v>1946</v>
      </c>
      <c r="D581" s="2" t="s">
        <v>2023</v>
      </c>
      <c r="E581" s="2" t="s">
        <v>2194</v>
      </c>
      <c r="F581" s="2" t="s">
        <v>2023</v>
      </c>
      <c r="G581" s="4">
        <f t="shared" si="9"/>
        <v>2</v>
      </c>
      <c r="H581" s="2" t="s">
        <v>2176</v>
      </c>
      <c r="J581" s="2" t="s">
        <v>2286</v>
      </c>
      <c r="K581" s="2" t="s">
        <v>2023</v>
      </c>
      <c r="L581" s="16">
        <v>48.9600337639</v>
      </c>
      <c r="M581" s="7">
        <v>2.3434145438799998</v>
      </c>
      <c r="N581" s="4" t="str">
        <f>VLOOKUP(C581,CHECKS!A:I,9,FALSE)</f>
        <v>#E65E37</v>
      </c>
      <c r="O581" s="4">
        <f>VLOOKUP(C581,CHECKS!A:I,6,FALSE)</f>
        <v>2.5</v>
      </c>
      <c r="P581" s="4">
        <f>VLOOKUP(C581,CHECKS!A:I,7,FALSE)</f>
        <v>4</v>
      </c>
      <c r="Q581" s="4">
        <f>VLOOKUP(C581,CHECKS!A:I,8,FALSE)</f>
        <v>7</v>
      </c>
      <c r="R581">
        <v>579</v>
      </c>
      <c r="U581" s="15"/>
      <c r="V581" s="15"/>
    </row>
    <row r="582" spans="1:22" x14ac:dyDescent="0.2">
      <c r="A582" s="4">
        <v>5810</v>
      </c>
      <c r="B582" s="2" t="s">
        <v>2195</v>
      </c>
      <c r="C582" s="4" t="s">
        <v>1946</v>
      </c>
      <c r="D582" s="2" t="s">
        <v>2031</v>
      </c>
      <c r="E582" s="2" t="s">
        <v>2196</v>
      </c>
      <c r="F582" s="2" t="s">
        <v>2031</v>
      </c>
      <c r="G582" s="4">
        <f t="shared" si="9"/>
        <v>1</v>
      </c>
      <c r="J582" s="2" t="s">
        <v>2270</v>
      </c>
      <c r="L582" s="16">
        <v>48.960162886900001</v>
      </c>
      <c r="M582" s="7">
        <v>2.3658421076599998</v>
      </c>
      <c r="N582" s="4" t="str">
        <f>VLOOKUP(C582,CHECKS!A:I,9,FALSE)</f>
        <v>#E65E37</v>
      </c>
      <c r="O582" s="4">
        <f>VLOOKUP(C582,CHECKS!A:I,6,FALSE)</f>
        <v>2.5</v>
      </c>
      <c r="P582" s="4">
        <f>VLOOKUP(C582,CHECKS!A:I,7,FALSE)</f>
        <v>4</v>
      </c>
      <c r="Q582" s="4">
        <f>VLOOKUP(C582,CHECKS!A:I,8,FALSE)</f>
        <v>7</v>
      </c>
      <c r="R582">
        <v>580</v>
      </c>
      <c r="U582" s="15"/>
      <c r="V582" s="15"/>
    </row>
    <row r="583" spans="1:22" x14ac:dyDescent="0.2">
      <c r="A583" s="4">
        <v>5820</v>
      </c>
      <c r="B583" s="2" t="s">
        <v>2197</v>
      </c>
      <c r="C583" s="4" t="s">
        <v>1946</v>
      </c>
      <c r="D583" s="2" t="s">
        <v>2032</v>
      </c>
      <c r="E583" s="2" t="s">
        <v>2198</v>
      </c>
      <c r="F583" s="2" t="s">
        <v>2032</v>
      </c>
      <c r="G583" s="4">
        <f t="shared" si="9"/>
        <v>1</v>
      </c>
      <c r="J583" s="2" t="s">
        <v>2282</v>
      </c>
      <c r="L583" s="16">
        <v>48.954929004500002</v>
      </c>
      <c r="M583" s="7">
        <v>2.39095508616</v>
      </c>
      <c r="N583" s="4" t="str">
        <f>VLOOKUP(C583,CHECKS!A:I,9,FALSE)</f>
        <v>#E65E37</v>
      </c>
      <c r="O583" s="4">
        <f>VLOOKUP(C583,CHECKS!A:I,6,FALSE)</f>
        <v>2.5</v>
      </c>
      <c r="P583" s="4">
        <f>VLOOKUP(C583,CHECKS!A:I,7,FALSE)</f>
        <v>4</v>
      </c>
      <c r="Q583" s="4">
        <f>VLOOKUP(C583,CHECKS!A:I,8,FALSE)</f>
        <v>7</v>
      </c>
      <c r="R583">
        <v>581</v>
      </c>
      <c r="U583" s="15"/>
      <c r="V583" s="15"/>
    </row>
    <row r="584" spans="1:22" x14ac:dyDescent="0.2">
      <c r="A584" s="4">
        <v>5830</v>
      </c>
      <c r="B584" s="2" t="s">
        <v>2199</v>
      </c>
      <c r="C584" s="4" t="s">
        <v>1946</v>
      </c>
      <c r="D584" s="2" t="s">
        <v>2033</v>
      </c>
      <c r="E584" s="2" t="s">
        <v>2200</v>
      </c>
      <c r="F584" s="2" t="s">
        <v>2033</v>
      </c>
      <c r="G584" s="4">
        <f t="shared" si="9"/>
        <v>1</v>
      </c>
      <c r="J584" s="2" t="s">
        <v>2225</v>
      </c>
      <c r="L584" s="16">
        <v>48.943630006699998</v>
      </c>
      <c r="M584" s="7">
        <v>2.4114734870099999</v>
      </c>
      <c r="N584" s="4" t="str">
        <f>VLOOKUP(C584,CHECKS!A:I,9,FALSE)</f>
        <v>#E65E37</v>
      </c>
      <c r="O584" s="4">
        <f>VLOOKUP(C584,CHECKS!A:I,6,FALSE)</f>
        <v>2.5</v>
      </c>
      <c r="P584" s="4">
        <f>VLOOKUP(C584,CHECKS!A:I,7,FALSE)</f>
        <v>4</v>
      </c>
      <c r="Q584" s="4">
        <f>VLOOKUP(C584,CHECKS!A:I,8,FALSE)</f>
        <v>7</v>
      </c>
      <c r="R584">
        <v>582</v>
      </c>
      <c r="U584" s="15"/>
      <c r="V584" s="15"/>
    </row>
    <row r="585" spans="1:22" x14ac:dyDescent="0.2">
      <c r="A585" s="4">
        <v>5840</v>
      </c>
      <c r="B585" s="2" t="s">
        <v>2201</v>
      </c>
      <c r="C585" s="4" t="s">
        <v>1946</v>
      </c>
      <c r="D585" s="2" t="s">
        <v>2034</v>
      </c>
      <c r="E585" s="2" t="s">
        <v>2199</v>
      </c>
      <c r="F585" s="2" t="s">
        <v>2034</v>
      </c>
      <c r="G585" s="4">
        <f t="shared" si="9"/>
        <v>2</v>
      </c>
      <c r="I585" s="2" t="s">
        <v>2494</v>
      </c>
      <c r="J585" s="2" t="s">
        <v>2033</v>
      </c>
      <c r="L585" s="16">
        <v>48.930206178900001</v>
      </c>
      <c r="M585" s="7">
        <v>2.42346455238</v>
      </c>
      <c r="N585" s="4" t="str">
        <f>VLOOKUP(C585,CHECKS!A:I,9,FALSE)</f>
        <v>#E65E37</v>
      </c>
      <c r="O585" s="4">
        <f>VLOOKUP(C585,CHECKS!A:I,6,FALSE)</f>
        <v>2.5</v>
      </c>
      <c r="P585" s="4">
        <f>VLOOKUP(C585,CHECKS!A:I,7,FALSE)</f>
        <v>4</v>
      </c>
      <c r="Q585" s="4">
        <f>VLOOKUP(C585,CHECKS!A:I,8,FALSE)</f>
        <v>7</v>
      </c>
      <c r="R585">
        <v>583</v>
      </c>
      <c r="U585" s="15"/>
      <c r="V585" s="15"/>
    </row>
    <row r="586" spans="1:22" x14ac:dyDescent="0.2">
      <c r="A586" s="4">
        <v>5850</v>
      </c>
      <c r="B586" s="2" t="s">
        <v>2351</v>
      </c>
      <c r="C586" s="4" t="s">
        <v>2344</v>
      </c>
      <c r="D586" s="2" t="s">
        <v>2345</v>
      </c>
      <c r="E586" s="2" t="s">
        <v>2352</v>
      </c>
      <c r="F586" s="2" t="s">
        <v>2345</v>
      </c>
      <c r="G586" s="4">
        <f t="shared" si="9"/>
        <v>1</v>
      </c>
      <c r="J586" s="2" t="s">
        <v>2346</v>
      </c>
      <c r="L586" s="7">
        <v>49.047876203400001</v>
      </c>
      <c r="M586" s="7">
        <v>2.0109997599999998</v>
      </c>
      <c r="N586" s="4" t="str">
        <f>VLOOKUP(C586,CHECKS!A:I,9,FALSE)</f>
        <v>#E2231A</v>
      </c>
      <c r="O586" s="4">
        <f>VLOOKUP(C586,CHECKS!A:I,6,FALSE)</f>
        <v>3.11</v>
      </c>
      <c r="P586" s="4">
        <f>VLOOKUP(C586,CHECKS!A:I,7,FALSE)</f>
        <v>4</v>
      </c>
      <c r="Q586" s="4">
        <f>VLOOKUP(C586,CHECKS!A:I,8,FALSE)</f>
        <v>7</v>
      </c>
      <c r="R586">
        <v>584</v>
      </c>
    </row>
    <row r="587" spans="1:22" x14ac:dyDescent="0.2">
      <c r="A587" s="4">
        <v>5860</v>
      </c>
      <c r="B587" s="2" t="s">
        <v>2352</v>
      </c>
      <c r="C587" s="4" t="s">
        <v>2344</v>
      </c>
      <c r="D587" s="2" t="s">
        <v>2346</v>
      </c>
      <c r="E587" s="2" t="s">
        <v>2416</v>
      </c>
      <c r="F587" s="2" t="s">
        <v>2346</v>
      </c>
      <c r="G587" s="4">
        <f t="shared" si="9"/>
        <v>1</v>
      </c>
      <c r="J587" s="2" t="s">
        <v>2620</v>
      </c>
      <c r="L587" s="7">
        <v>49.049647005200001</v>
      </c>
      <c r="M587" s="7">
        <v>2.03429446048</v>
      </c>
      <c r="N587" s="4" t="str">
        <f>VLOOKUP(C587,CHECKS!A:I,9,FALSE)</f>
        <v>#E2231A</v>
      </c>
      <c r="O587" s="4">
        <f>VLOOKUP(C587,CHECKS!A:I,6,FALSE)</f>
        <v>3.11</v>
      </c>
      <c r="P587" s="4">
        <f>VLOOKUP(C587,CHECKS!A:I,7,FALSE)</f>
        <v>4</v>
      </c>
      <c r="Q587" s="4">
        <f>VLOOKUP(C587,CHECKS!A:I,8,FALSE)</f>
        <v>7</v>
      </c>
      <c r="R587">
        <v>585</v>
      </c>
    </row>
    <row r="588" spans="1:22" x14ac:dyDescent="0.2">
      <c r="A588" s="4">
        <v>5870</v>
      </c>
      <c r="B588" s="2" t="s">
        <v>2353</v>
      </c>
      <c r="C588" s="4" t="s">
        <v>2344</v>
      </c>
      <c r="D588" s="2" t="s">
        <v>2347</v>
      </c>
      <c r="E588" s="2" t="s">
        <v>2417</v>
      </c>
      <c r="F588" s="2" t="s">
        <v>2347</v>
      </c>
      <c r="G588" s="4">
        <f t="shared" si="9"/>
        <v>1</v>
      </c>
      <c r="J588" s="2" t="s">
        <v>2621</v>
      </c>
      <c r="L588" s="7">
        <v>49.036463980699999</v>
      </c>
      <c r="M588" s="7">
        <v>2.0795349399999998</v>
      </c>
      <c r="N588" s="4" t="str">
        <f>VLOOKUP(C588,CHECKS!A:I,9,FALSE)</f>
        <v>#E2231A</v>
      </c>
      <c r="O588" s="4">
        <f>VLOOKUP(C588,CHECKS!A:I,6,FALSE)</f>
        <v>3.11</v>
      </c>
      <c r="P588" s="4">
        <f>VLOOKUP(C588,CHECKS!A:I,7,FALSE)</f>
        <v>4</v>
      </c>
      <c r="Q588" s="4">
        <f>VLOOKUP(C588,CHECKS!A:I,8,FALSE)</f>
        <v>7</v>
      </c>
      <c r="R588">
        <v>586</v>
      </c>
    </row>
    <row r="589" spans="1:22" x14ac:dyDescent="0.2">
      <c r="A589" s="4">
        <v>5880</v>
      </c>
      <c r="B589" s="2" t="s">
        <v>2354</v>
      </c>
      <c r="C589" s="4" t="s">
        <v>2344</v>
      </c>
      <c r="D589" s="2" t="s">
        <v>2348</v>
      </c>
      <c r="E589" s="2" t="s">
        <v>2418</v>
      </c>
      <c r="F589" s="2" t="s">
        <v>2348</v>
      </c>
      <c r="G589" s="4">
        <f t="shared" si="9"/>
        <v>1</v>
      </c>
      <c r="J589" s="2" t="s">
        <v>2622</v>
      </c>
      <c r="L589" s="7">
        <v>49.014133684999997</v>
      </c>
      <c r="M589" s="7">
        <v>2.0783065914100001</v>
      </c>
      <c r="N589" s="4" t="str">
        <f>VLOOKUP(C589,CHECKS!A:I,9,FALSE)</f>
        <v>#E2231A</v>
      </c>
      <c r="O589" s="4">
        <f>VLOOKUP(C589,CHECKS!A:I,6,FALSE)</f>
        <v>3.11</v>
      </c>
      <c r="P589" s="4">
        <f>VLOOKUP(C589,CHECKS!A:I,7,FALSE)</f>
        <v>4</v>
      </c>
      <c r="Q589" s="4">
        <f>VLOOKUP(C589,CHECKS!A:I,8,FALSE)</f>
        <v>7</v>
      </c>
      <c r="R589">
        <v>587</v>
      </c>
    </row>
    <row r="590" spans="1:22" x14ac:dyDescent="0.2">
      <c r="A590" s="4">
        <v>5890</v>
      </c>
      <c r="B590" s="2" t="s">
        <v>2355</v>
      </c>
      <c r="C590" s="4" t="s">
        <v>2344</v>
      </c>
      <c r="D590" s="2" t="s">
        <v>2349</v>
      </c>
      <c r="E590" s="2" t="s">
        <v>2419</v>
      </c>
      <c r="F590" s="2" t="s">
        <v>2349</v>
      </c>
      <c r="G590" s="4">
        <f t="shared" si="9"/>
        <v>1</v>
      </c>
      <c r="J590" s="2" t="s">
        <v>2623</v>
      </c>
      <c r="L590" s="7">
        <v>48.991012548699999</v>
      </c>
      <c r="M590" s="7">
        <v>2.07376988648</v>
      </c>
      <c r="N590" s="4" t="str">
        <f>VLOOKUP(C590,CHECKS!A:I,9,FALSE)</f>
        <v>#E2231A</v>
      </c>
      <c r="O590" s="4">
        <f>VLOOKUP(C590,CHECKS!A:I,6,FALSE)</f>
        <v>3.11</v>
      </c>
      <c r="P590" s="4">
        <f>VLOOKUP(C590,CHECKS!A:I,7,FALSE)</f>
        <v>4</v>
      </c>
      <c r="Q590" s="4">
        <f>VLOOKUP(C590,CHECKS!A:I,8,FALSE)</f>
        <v>7</v>
      </c>
      <c r="R590">
        <v>588</v>
      </c>
    </row>
    <row r="591" spans="1:22" x14ac:dyDescent="0.2">
      <c r="A591" s="4">
        <v>5900</v>
      </c>
      <c r="B591" s="2" t="s">
        <v>2356</v>
      </c>
      <c r="C591" s="4" t="s">
        <v>2344</v>
      </c>
      <c r="D591" s="2" t="s">
        <v>2350</v>
      </c>
      <c r="E591" s="2" t="s">
        <v>2420</v>
      </c>
      <c r="F591" s="2" t="s">
        <v>2350</v>
      </c>
      <c r="G591" s="4">
        <f t="shared" si="9"/>
        <v>1</v>
      </c>
      <c r="J591" s="2" t="s">
        <v>2624</v>
      </c>
      <c r="L591" s="7">
        <v>48.970665048299999</v>
      </c>
      <c r="M591" s="7">
        <v>2.0777317659299999</v>
      </c>
      <c r="N591" s="4" t="str">
        <f>VLOOKUP(C591,CHECKS!A:I,9,FALSE)</f>
        <v>#E2231A</v>
      </c>
      <c r="O591" s="4">
        <f>VLOOKUP(C591,CHECKS!A:I,6,FALSE)</f>
        <v>3.11</v>
      </c>
      <c r="P591" s="4">
        <f>VLOOKUP(C591,CHECKS!A:I,7,FALSE)</f>
        <v>4</v>
      </c>
      <c r="Q591" s="4">
        <f>VLOOKUP(C591,CHECKS!A:I,8,FALSE)</f>
        <v>7</v>
      </c>
      <c r="R591">
        <v>589</v>
      </c>
    </row>
    <row r="592" spans="1:22" x14ac:dyDescent="0.2">
      <c r="A592" s="4">
        <v>5910</v>
      </c>
      <c r="B592" s="2" t="s">
        <v>2357</v>
      </c>
      <c r="C592" s="4" t="s">
        <v>2344</v>
      </c>
      <c r="D592" s="2" t="s">
        <v>2380</v>
      </c>
      <c r="E592" s="2" t="s">
        <v>2358</v>
      </c>
      <c r="F592" s="2" t="s">
        <v>2380</v>
      </c>
      <c r="G592" s="4">
        <f t="shared" si="9"/>
        <v>1</v>
      </c>
      <c r="J592" s="2" t="s">
        <v>2381</v>
      </c>
      <c r="L592" s="7">
        <v>48.933265406099999</v>
      </c>
      <c r="M592" s="7">
        <v>2.0410722896800002</v>
      </c>
      <c r="N592" s="4" t="str">
        <f>VLOOKUP(C592,CHECKS!A:I,9,FALSE)</f>
        <v>#E2231A</v>
      </c>
      <c r="O592" s="4">
        <f>VLOOKUP(C592,CHECKS!A:I,6,FALSE)</f>
        <v>3.11</v>
      </c>
      <c r="P592" s="4">
        <f>VLOOKUP(C592,CHECKS!A:I,7,FALSE)</f>
        <v>4</v>
      </c>
      <c r="Q592" s="4">
        <f>VLOOKUP(C592,CHECKS!A:I,8,FALSE)</f>
        <v>7</v>
      </c>
      <c r="R592">
        <v>590</v>
      </c>
    </row>
    <row r="593" spans="1:18" x14ac:dyDescent="0.2">
      <c r="A593" s="4">
        <v>5920</v>
      </c>
      <c r="B593" s="2" t="s">
        <v>2358</v>
      </c>
      <c r="C593" s="4" t="s">
        <v>2344</v>
      </c>
      <c r="D593" s="2" t="s">
        <v>2381</v>
      </c>
      <c r="E593" s="2" t="s">
        <v>2421</v>
      </c>
      <c r="F593" s="2" t="s">
        <v>2381</v>
      </c>
      <c r="G593" s="4">
        <f t="shared" si="9"/>
        <v>1</v>
      </c>
      <c r="J593" s="2" t="s">
        <v>2625</v>
      </c>
      <c r="L593" s="7">
        <v>48.9554022445</v>
      </c>
      <c r="M593" s="7">
        <v>2.0935219029500001</v>
      </c>
      <c r="N593" s="4" t="str">
        <f>VLOOKUP(C593,CHECKS!A:I,9,FALSE)</f>
        <v>#E2231A</v>
      </c>
      <c r="O593" s="4">
        <f>VLOOKUP(C593,CHECKS!A:I,6,FALSE)</f>
        <v>3.11</v>
      </c>
      <c r="P593" s="4">
        <f>VLOOKUP(C593,CHECKS!A:I,7,FALSE)</f>
        <v>4</v>
      </c>
      <c r="Q593" s="4">
        <f>VLOOKUP(C593,CHECKS!A:I,8,FALSE)</f>
        <v>7</v>
      </c>
      <c r="R593">
        <v>591</v>
      </c>
    </row>
    <row r="594" spans="1:18" x14ac:dyDescent="0.2">
      <c r="A594" s="4">
        <v>5930</v>
      </c>
      <c r="B594" s="2" t="s">
        <v>2359</v>
      </c>
      <c r="C594" s="4" t="s">
        <v>2344</v>
      </c>
      <c r="D594" s="2" t="s">
        <v>2382</v>
      </c>
      <c r="E594" s="2" t="s">
        <v>2422</v>
      </c>
      <c r="F594" s="2" t="s">
        <v>2382</v>
      </c>
      <c r="G594" s="4">
        <f t="shared" si="9"/>
        <v>1</v>
      </c>
      <c r="J594" s="2" t="s">
        <v>2626</v>
      </c>
      <c r="L594" s="7">
        <v>48.945795934499998</v>
      </c>
      <c r="M594" s="7">
        <v>2.1445587568</v>
      </c>
      <c r="N594" s="4" t="str">
        <f>VLOOKUP(C594,CHECKS!A:I,9,FALSE)</f>
        <v>#E2231A</v>
      </c>
      <c r="O594" s="4">
        <f>VLOOKUP(C594,CHECKS!A:I,6,FALSE)</f>
        <v>3.11</v>
      </c>
      <c r="P594" s="4">
        <f>VLOOKUP(C594,CHECKS!A:I,7,FALSE)</f>
        <v>4</v>
      </c>
      <c r="Q594" s="4">
        <f>VLOOKUP(C594,CHECKS!A:I,8,FALSE)</f>
        <v>7</v>
      </c>
      <c r="R594">
        <v>592</v>
      </c>
    </row>
    <row r="595" spans="1:18" x14ac:dyDescent="0.2">
      <c r="A595" s="4">
        <v>5940</v>
      </c>
      <c r="B595" s="2" t="s">
        <v>2360</v>
      </c>
      <c r="C595" s="4" t="s">
        <v>2344</v>
      </c>
      <c r="D595" s="2" t="s">
        <v>2383</v>
      </c>
      <c r="E595" s="2" t="s">
        <v>2423</v>
      </c>
      <c r="F595" s="2" t="s">
        <v>2383</v>
      </c>
      <c r="G595" s="4">
        <f t="shared" si="9"/>
        <v>1</v>
      </c>
      <c r="J595" s="2" t="s">
        <v>2627</v>
      </c>
      <c r="L595" s="7">
        <v>48.937736062500001</v>
      </c>
      <c r="M595" s="7">
        <v>2.15708649785</v>
      </c>
      <c r="N595" s="4" t="str">
        <f>VLOOKUP(C595,CHECKS!A:I,9,FALSE)</f>
        <v>#E2231A</v>
      </c>
      <c r="O595" s="4">
        <f>VLOOKUP(C595,CHECKS!A:I,6,FALSE)</f>
        <v>3.11</v>
      </c>
      <c r="P595" s="4">
        <f>VLOOKUP(C595,CHECKS!A:I,7,FALSE)</f>
        <v>4</v>
      </c>
      <c r="Q595" s="4">
        <f>VLOOKUP(C595,CHECKS!A:I,8,FALSE)</f>
        <v>7</v>
      </c>
      <c r="R595">
        <v>593</v>
      </c>
    </row>
    <row r="596" spans="1:18" x14ac:dyDescent="0.2">
      <c r="A596" s="4">
        <v>5950</v>
      </c>
      <c r="B596" s="2" t="s">
        <v>2361</v>
      </c>
      <c r="C596" s="4" t="s">
        <v>2344</v>
      </c>
      <c r="D596" s="2" t="s">
        <v>2384</v>
      </c>
      <c r="E596" s="2" t="s">
        <v>2424</v>
      </c>
      <c r="F596" s="2" t="s">
        <v>2384</v>
      </c>
      <c r="G596" s="4">
        <f t="shared" si="9"/>
        <v>1</v>
      </c>
      <c r="J596" s="2" t="s">
        <v>2628</v>
      </c>
      <c r="L596" s="7">
        <v>48.9203793748</v>
      </c>
      <c r="M596" s="7">
        <v>2.1853533762900001</v>
      </c>
      <c r="N596" s="4" t="str">
        <f>VLOOKUP(C596,CHECKS!A:I,9,FALSE)</f>
        <v>#E2231A</v>
      </c>
      <c r="O596" s="4">
        <f>VLOOKUP(C596,CHECKS!A:I,6,FALSE)</f>
        <v>3.11</v>
      </c>
      <c r="P596" s="4">
        <f>VLOOKUP(C596,CHECKS!A:I,7,FALSE)</f>
        <v>4</v>
      </c>
      <c r="Q596" s="4">
        <f>VLOOKUP(C596,CHECKS!A:I,8,FALSE)</f>
        <v>7</v>
      </c>
      <c r="R596">
        <v>594</v>
      </c>
    </row>
    <row r="597" spans="1:18" x14ac:dyDescent="0.2">
      <c r="A597" s="4">
        <v>5960</v>
      </c>
      <c r="B597" s="2" t="s">
        <v>2362</v>
      </c>
      <c r="C597" s="4" t="s">
        <v>2344</v>
      </c>
      <c r="D597" s="2" t="s">
        <v>2385</v>
      </c>
      <c r="E597" s="2" t="s">
        <v>2363</v>
      </c>
      <c r="F597" s="2" t="s">
        <v>2385</v>
      </c>
      <c r="G597" s="4">
        <f t="shared" si="9"/>
        <v>1</v>
      </c>
      <c r="J597" s="2" t="s">
        <v>2386</v>
      </c>
      <c r="L597" s="7">
        <v>48.8980764111</v>
      </c>
      <c r="M597" s="7">
        <v>2.0948366282999999</v>
      </c>
      <c r="N597" s="4" t="str">
        <f>VLOOKUP(C597,CHECKS!A:I,9,FALSE)</f>
        <v>#E2231A</v>
      </c>
      <c r="O597" s="4">
        <f>VLOOKUP(C597,CHECKS!A:I,6,FALSE)</f>
        <v>3.11</v>
      </c>
      <c r="P597" s="4">
        <f>VLOOKUP(C597,CHECKS!A:I,7,FALSE)</f>
        <v>4</v>
      </c>
      <c r="Q597" s="4">
        <f>VLOOKUP(C597,CHECKS!A:I,8,FALSE)</f>
        <v>7</v>
      </c>
      <c r="R597">
        <v>595</v>
      </c>
    </row>
    <row r="598" spans="1:18" x14ac:dyDescent="0.2">
      <c r="A598" s="4">
        <v>5970</v>
      </c>
      <c r="B598" s="2" t="s">
        <v>2363</v>
      </c>
      <c r="C598" s="4" t="s">
        <v>2344</v>
      </c>
      <c r="D598" s="2" t="s">
        <v>2386</v>
      </c>
      <c r="E598" s="2" t="s">
        <v>2425</v>
      </c>
      <c r="F598" s="2" t="s">
        <v>2386</v>
      </c>
      <c r="G598" s="4">
        <f t="shared" si="9"/>
        <v>1</v>
      </c>
      <c r="J598" s="2" t="s">
        <v>2629</v>
      </c>
      <c r="L598" s="7">
        <v>48.8979734463</v>
      </c>
      <c r="M598" s="7">
        <v>2.12211744747</v>
      </c>
      <c r="N598" s="4" t="str">
        <f>VLOOKUP(C598,CHECKS!A:I,9,FALSE)</f>
        <v>#E2231A</v>
      </c>
      <c r="O598" s="4">
        <f>VLOOKUP(C598,CHECKS!A:I,6,FALSE)</f>
        <v>3.11</v>
      </c>
      <c r="P598" s="4">
        <f>VLOOKUP(C598,CHECKS!A:I,7,FALSE)</f>
        <v>4</v>
      </c>
      <c r="Q598" s="4">
        <f>VLOOKUP(C598,CHECKS!A:I,8,FALSE)</f>
        <v>7</v>
      </c>
      <c r="R598">
        <v>596</v>
      </c>
    </row>
    <row r="599" spans="1:18" x14ac:dyDescent="0.2">
      <c r="A599" s="4">
        <v>5980</v>
      </c>
      <c r="B599" s="2" t="s">
        <v>2364</v>
      </c>
      <c r="C599" s="4" t="s">
        <v>2344</v>
      </c>
      <c r="D599" s="2" t="s">
        <v>2387</v>
      </c>
      <c r="E599" s="2" t="s">
        <v>2426</v>
      </c>
      <c r="F599" s="2" t="s">
        <v>2387</v>
      </c>
      <c r="G599" s="4">
        <f t="shared" si="9"/>
        <v>1</v>
      </c>
      <c r="J599" s="2" t="s">
        <v>2630</v>
      </c>
      <c r="L599" s="7">
        <v>48.890086235600002</v>
      </c>
      <c r="M599" s="7">
        <v>2.1346008752299999</v>
      </c>
      <c r="N599" s="4" t="str">
        <f>VLOOKUP(C599,CHECKS!A:I,9,FALSE)</f>
        <v>#E2231A</v>
      </c>
      <c r="O599" s="4">
        <f>VLOOKUP(C599,CHECKS!A:I,6,FALSE)</f>
        <v>3.11</v>
      </c>
      <c r="P599" s="4">
        <f>VLOOKUP(C599,CHECKS!A:I,7,FALSE)</f>
        <v>4</v>
      </c>
      <c r="Q599" s="4">
        <f>VLOOKUP(C599,CHECKS!A:I,8,FALSE)</f>
        <v>7</v>
      </c>
      <c r="R599">
        <v>597</v>
      </c>
    </row>
    <row r="600" spans="1:18" x14ac:dyDescent="0.2">
      <c r="A600" s="4">
        <v>5990</v>
      </c>
      <c r="B600" s="2" t="s">
        <v>2365</v>
      </c>
      <c r="C600" s="4" t="s">
        <v>2344</v>
      </c>
      <c r="D600" s="2" t="s">
        <v>2388</v>
      </c>
      <c r="E600" s="2" t="s">
        <v>2427</v>
      </c>
      <c r="F600" s="2" t="s">
        <v>2388</v>
      </c>
      <c r="G600" s="4">
        <f t="shared" si="9"/>
        <v>1</v>
      </c>
      <c r="J600" s="2" t="s">
        <v>2631</v>
      </c>
      <c r="L600" s="7">
        <v>48.885211218199998</v>
      </c>
      <c r="M600" s="7">
        <v>2.1559034718999999</v>
      </c>
      <c r="N600" s="4" t="str">
        <f>VLOOKUP(C600,CHECKS!A:I,9,FALSE)</f>
        <v>#E2231A</v>
      </c>
      <c r="O600" s="4">
        <f>VLOOKUP(C600,CHECKS!A:I,6,FALSE)</f>
        <v>3.11</v>
      </c>
      <c r="P600" s="4">
        <f>VLOOKUP(C600,CHECKS!A:I,7,FALSE)</f>
        <v>4</v>
      </c>
      <c r="Q600" s="4">
        <f>VLOOKUP(C600,CHECKS!A:I,8,FALSE)</f>
        <v>7</v>
      </c>
      <c r="R600">
        <v>598</v>
      </c>
    </row>
    <row r="601" spans="1:18" x14ac:dyDescent="0.2">
      <c r="A601" s="4">
        <v>6000</v>
      </c>
      <c r="B601" s="2" t="s">
        <v>2366</v>
      </c>
      <c r="C601" s="4" t="s">
        <v>2344</v>
      </c>
      <c r="D601" s="2" t="s">
        <v>2389</v>
      </c>
      <c r="E601" s="2" t="s">
        <v>2428</v>
      </c>
      <c r="F601" s="2" t="s">
        <v>2389</v>
      </c>
      <c r="G601" s="4">
        <f t="shared" si="9"/>
        <v>1</v>
      </c>
      <c r="J601" s="2" t="s">
        <v>2632</v>
      </c>
      <c r="L601" s="7">
        <v>48.887573618600001</v>
      </c>
      <c r="M601" s="7">
        <v>2.1725794490800001</v>
      </c>
      <c r="N601" s="4" t="str">
        <f>VLOOKUP(C601,CHECKS!A:I,9,FALSE)</f>
        <v>#E2231A</v>
      </c>
      <c r="O601" s="4">
        <f>VLOOKUP(C601,CHECKS!A:I,6,FALSE)</f>
        <v>3.11</v>
      </c>
      <c r="P601" s="4">
        <f>VLOOKUP(C601,CHECKS!A:I,7,FALSE)</f>
        <v>4</v>
      </c>
      <c r="Q601" s="4">
        <f>VLOOKUP(C601,CHECKS!A:I,8,FALSE)</f>
        <v>7</v>
      </c>
      <c r="R601">
        <v>599</v>
      </c>
    </row>
    <row r="602" spans="1:18" x14ac:dyDescent="0.2">
      <c r="A602" s="4">
        <v>6010</v>
      </c>
      <c r="B602" s="2" t="s">
        <v>2367</v>
      </c>
      <c r="C602" s="4" t="s">
        <v>2344</v>
      </c>
      <c r="D602" s="2" t="s">
        <v>2390</v>
      </c>
      <c r="E602" s="2" t="s">
        <v>2429</v>
      </c>
      <c r="F602" s="2" t="s">
        <v>2390</v>
      </c>
      <c r="G602" s="4">
        <f t="shared" si="9"/>
        <v>1</v>
      </c>
      <c r="J602" s="2" t="s">
        <v>2633</v>
      </c>
      <c r="L602" s="7">
        <v>48.895125891299998</v>
      </c>
      <c r="M602" s="7">
        <v>2.1953639869099999</v>
      </c>
      <c r="N602" s="4" t="str">
        <f>VLOOKUP(C602,CHECKS!A:I,9,FALSE)</f>
        <v>#E2231A</v>
      </c>
      <c r="O602" s="4">
        <f>VLOOKUP(C602,CHECKS!A:I,6,FALSE)</f>
        <v>3.11</v>
      </c>
      <c r="P602" s="4">
        <f>VLOOKUP(C602,CHECKS!A:I,7,FALSE)</f>
        <v>4</v>
      </c>
      <c r="Q602" s="4">
        <f>VLOOKUP(C602,CHECKS!A:I,8,FALSE)</f>
        <v>7</v>
      </c>
      <c r="R602">
        <v>600</v>
      </c>
    </row>
    <row r="603" spans="1:18" x14ac:dyDescent="0.2">
      <c r="A603" s="4">
        <v>6020</v>
      </c>
      <c r="B603" s="2" t="s">
        <v>2368</v>
      </c>
      <c r="C603" s="4" t="s">
        <v>2344</v>
      </c>
      <c r="D603" s="2" t="s">
        <v>2391</v>
      </c>
      <c r="E603" s="2" t="s">
        <v>2430</v>
      </c>
      <c r="F603" s="2" t="s">
        <v>2391</v>
      </c>
      <c r="G603" s="4">
        <f t="shared" si="9"/>
        <v>1</v>
      </c>
      <c r="J603" s="2" t="s">
        <v>2634</v>
      </c>
      <c r="L603" s="7">
        <v>48.9015496743</v>
      </c>
      <c r="M603" s="7">
        <v>2.2152323472700002</v>
      </c>
      <c r="N603" s="4" t="str">
        <f>VLOOKUP(C603,CHECKS!A:I,9,FALSE)</f>
        <v>#E2231A</v>
      </c>
      <c r="O603" s="4">
        <f>VLOOKUP(C603,CHECKS!A:I,6,FALSE)</f>
        <v>3.11</v>
      </c>
      <c r="P603" s="4">
        <f>VLOOKUP(C603,CHECKS!A:I,7,FALSE)</f>
        <v>4</v>
      </c>
      <c r="Q603" s="4">
        <f>VLOOKUP(C603,CHECKS!A:I,8,FALSE)</f>
        <v>7</v>
      </c>
      <c r="R603">
        <v>601</v>
      </c>
    </row>
    <row r="604" spans="1:18" x14ac:dyDescent="0.2">
      <c r="A604" s="4">
        <v>6030</v>
      </c>
      <c r="B604" s="2" t="s">
        <v>2369</v>
      </c>
      <c r="C604" s="4" t="s">
        <v>2344</v>
      </c>
      <c r="D604" s="2" t="s">
        <v>2392</v>
      </c>
      <c r="E604" s="2" t="s">
        <v>2431</v>
      </c>
      <c r="F604" s="2" t="s">
        <v>2392</v>
      </c>
      <c r="G604" s="4">
        <f t="shared" si="9"/>
        <v>1</v>
      </c>
      <c r="J604" s="2" t="s">
        <v>2635</v>
      </c>
      <c r="L604" s="7">
        <v>48.895745312099997</v>
      </c>
      <c r="M604" s="7">
        <v>2.2232129670299998</v>
      </c>
      <c r="N604" s="4" t="str">
        <f>VLOOKUP(C604,CHECKS!A:I,9,FALSE)</f>
        <v>#E2231A</v>
      </c>
      <c r="O604" s="4">
        <f>VLOOKUP(C604,CHECKS!A:I,6,FALSE)</f>
        <v>3.11</v>
      </c>
      <c r="P604" s="4">
        <f>VLOOKUP(C604,CHECKS!A:I,7,FALSE)</f>
        <v>4</v>
      </c>
      <c r="Q604" s="4">
        <f>VLOOKUP(C604,CHECKS!A:I,8,FALSE)</f>
        <v>7</v>
      </c>
      <c r="R604">
        <v>602</v>
      </c>
    </row>
    <row r="605" spans="1:18" x14ac:dyDescent="0.2">
      <c r="A605" s="4">
        <v>6040</v>
      </c>
      <c r="B605" s="2" t="s">
        <v>2370</v>
      </c>
      <c r="C605" s="4" t="s">
        <v>2344</v>
      </c>
      <c r="D605" s="2" t="s">
        <v>8</v>
      </c>
      <c r="E605" s="2" t="s">
        <v>2432</v>
      </c>
      <c r="F605" s="2" t="s">
        <v>8</v>
      </c>
      <c r="G605" s="4">
        <f t="shared" si="9"/>
        <v>3</v>
      </c>
      <c r="I605" s="2" t="s">
        <v>2292</v>
      </c>
      <c r="J605" s="2" t="s">
        <v>2636</v>
      </c>
      <c r="L605" s="7">
        <v>48.892187076399999</v>
      </c>
      <c r="M605" s="7">
        <v>2.2370180564000002</v>
      </c>
      <c r="N605" s="4" t="str">
        <f>VLOOKUP(C605,CHECKS!A:I,9,FALSE)</f>
        <v>#E2231A</v>
      </c>
      <c r="O605" s="4">
        <f>VLOOKUP(C605,CHECKS!A:I,6,FALSE)</f>
        <v>3.11</v>
      </c>
      <c r="P605" s="4">
        <f>VLOOKUP(C605,CHECKS!A:I,7,FALSE)</f>
        <v>4</v>
      </c>
      <c r="Q605" s="4">
        <f>VLOOKUP(C605,CHECKS!A:I,8,FALSE)</f>
        <v>7</v>
      </c>
      <c r="R605">
        <v>603</v>
      </c>
    </row>
    <row r="606" spans="1:18" x14ac:dyDescent="0.2">
      <c r="A606" s="4">
        <v>6050</v>
      </c>
      <c r="B606" s="2" t="s">
        <v>2371</v>
      </c>
      <c r="C606" s="4" t="s">
        <v>2344</v>
      </c>
      <c r="D606" s="2" t="s">
        <v>96</v>
      </c>
      <c r="E606" s="2" t="s">
        <v>2433</v>
      </c>
      <c r="F606" s="2" t="s">
        <v>96</v>
      </c>
      <c r="G606" s="4">
        <f t="shared" si="9"/>
        <v>4</v>
      </c>
      <c r="I606" s="2" t="s">
        <v>1476</v>
      </c>
      <c r="J606" s="2" t="s">
        <v>2637</v>
      </c>
      <c r="L606" s="7">
        <v>48.8742384767</v>
      </c>
      <c r="M606" s="7">
        <v>2.2944905928299999</v>
      </c>
      <c r="N606" s="4" t="str">
        <f>VLOOKUP(C606,CHECKS!A:I,9,FALSE)</f>
        <v>#E2231A</v>
      </c>
      <c r="O606" s="4">
        <f>VLOOKUP(C606,CHECKS!A:I,6,FALSE)</f>
        <v>3.11</v>
      </c>
      <c r="P606" s="4">
        <f>VLOOKUP(C606,CHECKS!A:I,7,FALSE)</f>
        <v>4</v>
      </c>
      <c r="Q606" s="4">
        <f>VLOOKUP(C606,CHECKS!A:I,8,FALSE)</f>
        <v>7</v>
      </c>
      <c r="R606">
        <v>604</v>
      </c>
    </row>
    <row r="607" spans="1:18" x14ac:dyDescent="0.2">
      <c r="A607" s="4">
        <v>6060</v>
      </c>
      <c r="B607" s="2" t="s">
        <v>2372</v>
      </c>
      <c r="C607" s="4" t="s">
        <v>2344</v>
      </c>
      <c r="D607" s="2" t="s">
        <v>2393</v>
      </c>
      <c r="E607" s="2" t="s">
        <v>2434</v>
      </c>
      <c r="F607" s="2" t="s">
        <v>237</v>
      </c>
      <c r="G607" s="4">
        <f t="shared" si="9"/>
        <v>4</v>
      </c>
      <c r="J607" s="2" t="s">
        <v>2638</v>
      </c>
      <c r="L607" s="7">
        <v>48.872157494900001</v>
      </c>
      <c r="M607" s="7">
        <v>2.32992717061</v>
      </c>
      <c r="N607" s="4" t="str">
        <f>VLOOKUP(C607,CHECKS!A:I,9,FALSE)</f>
        <v>#E2231A</v>
      </c>
      <c r="O607" s="4">
        <f>VLOOKUP(C607,CHECKS!A:I,6,FALSE)</f>
        <v>3.11</v>
      </c>
      <c r="P607" s="4">
        <f>VLOOKUP(C607,CHECKS!A:I,7,FALSE)</f>
        <v>4</v>
      </c>
      <c r="Q607" s="4">
        <f>VLOOKUP(C607,CHECKS!A:I,8,FALSE)</f>
        <v>7</v>
      </c>
      <c r="R607">
        <v>605</v>
      </c>
    </row>
    <row r="608" spans="1:18" x14ac:dyDescent="0.2">
      <c r="A608" s="4">
        <v>6070</v>
      </c>
      <c r="B608" s="2" t="s">
        <v>2373</v>
      </c>
      <c r="C608" s="4" t="s">
        <v>2344</v>
      </c>
      <c r="D608" s="2" t="s">
        <v>2394</v>
      </c>
      <c r="E608" s="2" t="s">
        <v>2435</v>
      </c>
      <c r="F608" s="2" t="s">
        <v>20</v>
      </c>
      <c r="G608" s="4">
        <f t="shared" si="9"/>
        <v>7</v>
      </c>
      <c r="H608" s="2" t="s">
        <v>2498</v>
      </c>
      <c r="I608" s="2" t="s">
        <v>1522</v>
      </c>
      <c r="J608" s="2" t="s">
        <v>2639</v>
      </c>
      <c r="K608" s="2" t="s">
        <v>2394</v>
      </c>
      <c r="L608" s="7">
        <v>48.861822274600001</v>
      </c>
      <c r="M608" s="7">
        <v>2.3470126872199999</v>
      </c>
      <c r="N608" s="4" t="str">
        <f>VLOOKUP(C608,CHECKS!A:I,9,FALSE)</f>
        <v>#E2231A</v>
      </c>
      <c r="O608" s="4">
        <f>VLOOKUP(C608,CHECKS!A:I,6,FALSE)</f>
        <v>3.11</v>
      </c>
      <c r="P608" s="4">
        <f>VLOOKUP(C608,CHECKS!A:I,7,FALSE)</f>
        <v>4</v>
      </c>
      <c r="Q608" s="4">
        <f>VLOOKUP(C608,CHECKS!A:I,8,FALSE)</f>
        <v>7</v>
      </c>
      <c r="R608">
        <v>606</v>
      </c>
    </row>
    <row r="609" spans="1:18" x14ac:dyDescent="0.2">
      <c r="A609" s="4">
        <v>6080</v>
      </c>
      <c r="B609" s="2" t="s">
        <v>2374</v>
      </c>
      <c r="C609" s="4" t="s">
        <v>2344</v>
      </c>
      <c r="D609" s="2" t="s">
        <v>24</v>
      </c>
      <c r="E609" s="2" t="s">
        <v>2436</v>
      </c>
      <c r="F609" s="2" t="s">
        <v>24</v>
      </c>
      <c r="G609" s="4">
        <f t="shared" si="9"/>
        <v>3</v>
      </c>
      <c r="I609" s="2" t="s">
        <v>1523</v>
      </c>
      <c r="J609" s="2" t="s">
        <v>2640</v>
      </c>
      <c r="L609" s="7">
        <v>48.844139349899997</v>
      </c>
      <c r="M609" s="7">
        <v>2.37325997671</v>
      </c>
      <c r="N609" s="4" t="str">
        <f>VLOOKUP(C609,CHECKS!A:I,9,FALSE)</f>
        <v>#E2231A</v>
      </c>
      <c r="O609" s="4">
        <f>VLOOKUP(C609,CHECKS!A:I,6,FALSE)</f>
        <v>3.11</v>
      </c>
      <c r="P609" s="4">
        <f>VLOOKUP(C609,CHECKS!A:I,7,FALSE)</f>
        <v>4</v>
      </c>
      <c r="Q609" s="4">
        <f>VLOOKUP(C609,CHECKS!A:I,8,FALSE)</f>
        <v>7</v>
      </c>
      <c r="R609">
        <v>607</v>
      </c>
    </row>
    <row r="610" spans="1:18" x14ac:dyDescent="0.2">
      <c r="A610" s="4">
        <v>6090</v>
      </c>
      <c r="B610" s="2" t="s">
        <v>2375</v>
      </c>
      <c r="C610" s="4" t="s">
        <v>2344</v>
      </c>
      <c r="D610" s="2" t="s">
        <v>25</v>
      </c>
      <c r="E610" s="2" t="s">
        <v>2437</v>
      </c>
      <c r="F610" s="2" t="s">
        <v>25</v>
      </c>
      <c r="G610" s="4">
        <f t="shared" si="9"/>
        <v>5</v>
      </c>
      <c r="I610" s="2" t="s">
        <v>1496</v>
      </c>
      <c r="J610" s="2" t="s">
        <v>2641</v>
      </c>
      <c r="L610" s="7">
        <v>48.848237110399999</v>
      </c>
      <c r="M610" s="7">
        <v>2.3958235888299999</v>
      </c>
      <c r="N610" s="4" t="str">
        <f>VLOOKUP(C610,CHECKS!A:I,9,FALSE)</f>
        <v>#E2231A</v>
      </c>
      <c r="O610" s="4">
        <f>VLOOKUP(C610,CHECKS!A:I,6,FALSE)</f>
        <v>3.11</v>
      </c>
      <c r="P610" s="4">
        <f>VLOOKUP(C610,CHECKS!A:I,7,FALSE)</f>
        <v>4</v>
      </c>
      <c r="Q610" s="4">
        <f>VLOOKUP(C610,CHECKS!A:I,8,FALSE)</f>
        <v>7</v>
      </c>
      <c r="R610">
        <v>608</v>
      </c>
    </row>
    <row r="611" spans="1:18" x14ac:dyDescent="0.2">
      <c r="A611" s="4">
        <v>6100</v>
      </c>
      <c r="B611" s="2" t="s">
        <v>2376</v>
      </c>
      <c r="C611" s="4" t="s">
        <v>2344</v>
      </c>
      <c r="D611" s="2" t="s">
        <v>2395</v>
      </c>
      <c r="E611" s="2" t="s">
        <v>2440</v>
      </c>
      <c r="F611" s="2" t="s">
        <v>2395</v>
      </c>
      <c r="G611" s="4">
        <f t="shared" si="9"/>
        <v>1</v>
      </c>
      <c r="J611" s="2" t="s">
        <v>2642</v>
      </c>
      <c r="L611" s="7">
        <v>48.847308359499998</v>
      </c>
      <c r="M611" s="7">
        <v>2.4332997176400002</v>
      </c>
      <c r="N611" s="4" t="str">
        <f>VLOOKUP(C611,CHECKS!A:I,9,FALSE)</f>
        <v>#E2231A</v>
      </c>
      <c r="O611" s="4">
        <f>VLOOKUP(C611,CHECKS!A:I,6,FALSE)</f>
        <v>3.11</v>
      </c>
      <c r="P611" s="4">
        <f>VLOOKUP(C611,CHECKS!A:I,7,FALSE)</f>
        <v>4</v>
      </c>
      <c r="Q611" s="4">
        <f>VLOOKUP(C611,CHECKS!A:I,8,FALSE)</f>
        <v>7</v>
      </c>
      <c r="R611">
        <v>609</v>
      </c>
    </row>
    <row r="612" spans="1:18" x14ac:dyDescent="0.2">
      <c r="A612" s="4">
        <v>6110</v>
      </c>
      <c r="B612" s="2" t="s">
        <v>2377</v>
      </c>
      <c r="C612" s="4" t="s">
        <v>2344</v>
      </c>
      <c r="D612" s="2" t="s">
        <v>2396</v>
      </c>
      <c r="E612" s="2" t="s">
        <v>2438</v>
      </c>
      <c r="F612" s="2" t="s">
        <v>2396</v>
      </c>
      <c r="G612" s="4">
        <f t="shared" si="9"/>
        <v>1</v>
      </c>
      <c r="J612" s="2" t="s">
        <v>2643</v>
      </c>
      <c r="L612" s="7">
        <v>48.853795576499998</v>
      </c>
      <c r="M612" s="7">
        <v>2.48818757518</v>
      </c>
      <c r="N612" s="4" t="str">
        <f>VLOOKUP(C612,CHECKS!A:I,9,FALSE)</f>
        <v>#E2231A</v>
      </c>
      <c r="O612" s="4">
        <f>VLOOKUP(C612,CHECKS!A:I,6,FALSE)</f>
        <v>3.11</v>
      </c>
      <c r="P612" s="4">
        <f>VLOOKUP(C612,CHECKS!A:I,7,FALSE)</f>
        <v>4</v>
      </c>
      <c r="Q612" s="4">
        <f>VLOOKUP(C612,CHECKS!A:I,8,FALSE)</f>
        <v>7</v>
      </c>
      <c r="R612">
        <v>610</v>
      </c>
    </row>
    <row r="613" spans="1:18" x14ac:dyDescent="0.2">
      <c r="A613" s="4">
        <v>6120</v>
      </c>
      <c r="B613" s="2" t="s">
        <v>2378</v>
      </c>
      <c r="C613" s="4" t="s">
        <v>2344</v>
      </c>
      <c r="D613" s="2" t="s">
        <v>2397</v>
      </c>
      <c r="E613" s="2" t="s">
        <v>2439</v>
      </c>
      <c r="F613" s="2" t="s">
        <v>2397</v>
      </c>
      <c r="G613" s="4">
        <f t="shared" si="9"/>
        <v>1</v>
      </c>
      <c r="J613" s="2" t="s">
        <v>2644</v>
      </c>
      <c r="L613" s="7">
        <v>48.853485712999998</v>
      </c>
      <c r="M613" s="7">
        <v>2.5138252910299999</v>
      </c>
      <c r="N613" s="4" t="str">
        <f>VLOOKUP(C613,CHECKS!A:I,9,FALSE)</f>
        <v>#E2231A</v>
      </c>
      <c r="O613" s="4">
        <f>VLOOKUP(C613,CHECKS!A:I,6,FALSE)</f>
        <v>3.11</v>
      </c>
      <c r="P613" s="4">
        <f>VLOOKUP(C613,CHECKS!A:I,7,FALSE)</f>
        <v>4</v>
      </c>
      <c r="Q613" s="4">
        <f>VLOOKUP(C613,CHECKS!A:I,8,FALSE)</f>
        <v>7</v>
      </c>
      <c r="R613">
        <v>611</v>
      </c>
    </row>
    <row r="614" spans="1:18" x14ac:dyDescent="0.2">
      <c r="A614" s="4">
        <v>6130</v>
      </c>
      <c r="B614" s="2" t="s">
        <v>2379</v>
      </c>
      <c r="C614" s="4" t="s">
        <v>2344</v>
      </c>
      <c r="D614" s="2" t="s">
        <v>2398</v>
      </c>
      <c r="E614" s="2" t="s">
        <v>2441</v>
      </c>
      <c r="F614" s="2" t="s">
        <v>2398</v>
      </c>
      <c r="G614" s="4">
        <f t="shared" si="9"/>
        <v>1</v>
      </c>
      <c r="J614" s="2" t="s">
        <v>2645</v>
      </c>
      <c r="L614" s="7">
        <v>48.844901138700003</v>
      </c>
      <c r="M614" s="7">
        <v>2.5259225465699999</v>
      </c>
      <c r="N614" s="4" t="str">
        <f>VLOOKUP(C614,CHECKS!A:I,9,FALSE)</f>
        <v>#E2231A</v>
      </c>
      <c r="O614" s="4">
        <f>VLOOKUP(C614,CHECKS!A:I,6,FALSE)</f>
        <v>3.11</v>
      </c>
      <c r="P614" s="4">
        <f>VLOOKUP(C614,CHECKS!A:I,7,FALSE)</f>
        <v>4</v>
      </c>
      <c r="Q614" s="4">
        <f>VLOOKUP(C614,CHECKS!A:I,8,FALSE)</f>
        <v>7</v>
      </c>
      <c r="R614">
        <v>612</v>
      </c>
    </row>
    <row r="615" spans="1:18" x14ac:dyDescent="0.2">
      <c r="A615" s="4">
        <v>6140</v>
      </c>
      <c r="B615" s="2" t="s">
        <v>2442</v>
      </c>
      <c r="C615" s="4" t="s">
        <v>2344</v>
      </c>
      <c r="D615" s="2" t="s">
        <v>2399</v>
      </c>
      <c r="E615" s="2" t="s">
        <v>2443</v>
      </c>
      <c r="F615" s="2" t="s">
        <v>2399</v>
      </c>
      <c r="G615" s="4">
        <f t="shared" si="9"/>
        <v>1</v>
      </c>
      <c r="J615" s="2" t="s">
        <v>2646</v>
      </c>
      <c r="L615" s="7">
        <v>48.840843431899998</v>
      </c>
      <c r="M615" s="7">
        <v>2.5477751892999998</v>
      </c>
      <c r="N615" s="4" t="str">
        <f>VLOOKUP(C615,CHECKS!A:I,9,FALSE)</f>
        <v>#E2231A</v>
      </c>
      <c r="O615" s="4">
        <f>VLOOKUP(C615,CHECKS!A:I,6,FALSE)</f>
        <v>3.11</v>
      </c>
      <c r="P615" s="4">
        <f>VLOOKUP(C615,CHECKS!A:I,7,FALSE)</f>
        <v>4</v>
      </c>
      <c r="Q615" s="4">
        <f>VLOOKUP(C615,CHECKS!A:I,8,FALSE)</f>
        <v>7</v>
      </c>
      <c r="R615">
        <v>613</v>
      </c>
    </row>
    <row r="616" spans="1:18" x14ac:dyDescent="0.2">
      <c r="A616" s="4">
        <v>6150</v>
      </c>
      <c r="B616" s="2" t="s">
        <v>2444</v>
      </c>
      <c r="C616" s="4" t="s">
        <v>2344</v>
      </c>
      <c r="D616" s="2" t="s">
        <v>2400</v>
      </c>
      <c r="E616" s="2" t="s">
        <v>2445</v>
      </c>
      <c r="F616" s="2" t="s">
        <v>2400</v>
      </c>
      <c r="G616" s="4">
        <f t="shared" si="9"/>
        <v>1</v>
      </c>
      <c r="J616" s="2" t="s">
        <v>2647</v>
      </c>
      <c r="L616" s="7">
        <v>48.842884840799996</v>
      </c>
      <c r="M616" s="7">
        <v>2.5800859119699999</v>
      </c>
      <c r="N616" s="4" t="str">
        <f>VLOOKUP(C616,CHECKS!A:I,9,FALSE)</f>
        <v>#E2231A</v>
      </c>
      <c r="O616" s="4">
        <f>VLOOKUP(C616,CHECKS!A:I,6,FALSE)</f>
        <v>3.11</v>
      </c>
      <c r="P616" s="4">
        <f>VLOOKUP(C616,CHECKS!A:I,7,FALSE)</f>
        <v>4</v>
      </c>
      <c r="Q616" s="4">
        <f>VLOOKUP(C616,CHECKS!A:I,8,FALSE)</f>
        <v>7</v>
      </c>
      <c r="R616">
        <v>614</v>
      </c>
    </row>
    <row r="617" spans="1:18" x14ac:dyDescent="0.2">
      <c r="A617" s="4">
        <v>6160</v>
      </c>
      <c r="B617" s="2" t="s">
        <v>2446</v>
      </c>
      <c r="C617" s="4" t="s">
        <v>2344</v>
      </c>
      <c r="D617" s="2" t="s">
        <v>2401</v>
      </c>
      <c r="E617" s="2" t="s">
        <v>2447</v>
      </c>
      <c r="F617" s="2" t="s">
        <v>2401</v>
      </c>
      <c r="G617" s="4">
        <f t="shared" si="9"/>
        <v>1</v>
      </c>
      <c r="J617" s="2" t="s">
        <v>2648</v>
      </c>
      <c r="L617" s="7">
        <v>48.843491648700002</v>
      </c>
      <c r="M617" s="7">
        <v>2.6159524885000001</v>
      </c>
      <c r="N617" s="4" t="str">
        <f>VLOOKUP(C617,CHECKS!A:I,9,FALSE)</f>
        <v>#E2231A</v>
      </c>
      <c r="O617" s="4">
        <f>VLOOKUP(C617,CHECKS!A:I,6,FALSE)</f>
        <v>3.11</v>
      </c>
      <c r="P617" s="4">
        <f>VLOOKUP(C617,CHECKS!A:I,7,FALSE)</f>
        <v>4</v>
      </c>
      <c r="Q617" s="4">
        <f>VLOOKUP(C617,CHECKS!A:I,8,FALSE)</f>
        <v>7</v>
      </c>
      <c r="R617">
        <v>615</v>
      </c>
    </row>
    <row r="618" spans="1:18" x14ac:dyDescent="0.2">
      <c r="A618" s="4">
        <v>6170</v>
      </c>
      <c r="B618" s="2" t="s">
        <v>2448</v>
      </c>
      <c r="C618" s="4" t="s">
        <v>2344</v>
      </c>
      <c r="D618" s="2" t="s">
        <v>2402</v>
      </c>
      <c r="E618" s="2" t="s">
        <v>2449</v>
      </c>
      <c r="F618" s="2" t="s">
        <v>2402</v>
      </c>
      <c r="G618" s="4">
        <f t="shared" si="9"/>
        <v>1</v>
      </c>
      <c r="J618" s="2" t="s">
        <v>2649</v>
      </c>
      <c r="L618" s="7">
        <v>48.839219300000003</v>
      </c>
      <c r="M618" s="7">
        <v>2.6332109134200001</v>
      </c>
      <c r="N618" s="4" t="str">
        <f>VLOOKUP(C618,CHECKS!A:I,9,FALSE)</f>
        <v>#E2231A</v>
      </c>
      <c r="O618" s="4">
        <f>VLOOKUP(C618,CHECKS!A:I,6,FALSE)</f>
        <v>3.11</v>
      </c>
      <c r="P618" s="4">
        <f>VLOOKUP(C618,CHECKS!A:I,7,FALSE)</f>
        <v>4</v>
      </c>
      <c r="Q618" s="4">
        <f>VLOOKUP(C618,CHECKS!A:I,8,FALSE)</f>
        <v>7</v>
      </c>
      <c r="R618">
        <v>616</v>
      </c>
    </row>
    <row r="619" spans="1:18" x14ac:dyDescent="0.2">
      <c r="A619" s="4">
        <v>6180</v>
      </c>
      <c r="B619" s="2" t="s">
        <v>2450</v>
      </c>
      <c r="C619" s="4" t="s">
        <v>2344</v>
      </c>
      <c r="D619" s="2" t="s">
        <v>2403</v>
      </c>
      <c r="E619" s="2" t="s">
        <v>2451</v>
      </c>
      <c r="F619" s="2" t="s">
        <v>2403</v>
      </c>
      <c r="G619" s="4">
        <f t="shared" si="9"/>
        <v>1</v>
      </c>
      <c r="J619" s="2" t="s">
        <v>2650</v>
      </c>
      <c r="L619" s="7">
        <v>48.839645517299999</v>
      </c>
      <c r="M619" s="7">
        <v>2.6551300866399998</v>
      </c>
      <c r="N619" s="4" t="str">
        <f>VLOOKUP(C619,CHECKS!A:I,9,FALSE)</f>
        <v>#E2231A</v>
      </c>
      <c r="O619" s="4">
        <f>VLOOKUP(C619,CHECKS!A:I,6,FALSE)</f>
        <v>3.11</v>
      </c>
      <c r="P619" s="4">
        <f>VLOOKUP(C619,CHECKS!A:I,7,FALSE)</f>
        <v>4</v>
      </c>
      <c r="Q619" s="4">
        <f>VLOOKUP(C619,CHECKS!A:I,8,FALSE)</f>
        <v>7</v>
      </c>
      <c r="R619">
        <v>617</v>
      </c>
    </row>
    <row r="620" spans="1:18" x14ac:dyDescent="0.2">
      <c r="A620" s="4">
        <v>6190</v>
      </c>
      <c r="B620" s="2" t="s">
        <v>2452</v>
      </c>
      <c r="C620" s="4" t="s">
        <v>2344</v>
      </c>
      <c r="D620" s="2" t="s">
        <v>2404</v>
      </c>
      <c r="E620" s="2" t="s">
        <v>2453</v>
      </c>
      <c r="F620" s="2" t="s">
        <v>2404</v>
      </c>
      <c r="G620" s="4">
        <f t="shared" si="9"/>
        <v>1</v>
      </c>
      <c r="J620" s="2" t="s">
        <v>2651</v>
      </c>
      <c r="L620" s="7">
        <v>48.836536432899997</v>
      </c>
      <c r="M620" s="7">
        <v>2.7089817422600002</v>
      </c>
      <c r="N620" s="4" t="str">
        <f>VLOOKUP(C620,CHECKS!A:I,9,FALSE)</f>
        <v>#E2231A</v>
      </c>
      <c r="O620" s="4">
        <f>VLOOKUP(C620,CHECKS!A:I,6,FALSE)</f>
        <v>3.11</v>
      </c>
      <c r="P620" s="4">
        <f>VLOOKUP(C620,CHECKS!A:I,7,FALSE)</f>
        <v>4</v>
      </c>
      <c r="Q620" s="4">
        <f>VLOOKUP(C620,CHECKS!A:I,8,FALSE)</f>
        <v>7</v>
      </c>
      <c r="R620">
        <v>618</v>
      </c>
    </row>
    <row r="621" spans="1:18" x14ac:dyDescent="0.2">
      <c r="A621" s="4">
        <v>6200</v>
      </c>
      <c r="B621" s="2" t="s">
        <v>2454</v>
      </c>
      <c r="C621" s="4" t="s">
        <v>2344</v>
      </c>
      <c r="D621" s="2" t="s">
        <v>2405</v>
      </c>
      <c r="E621" s="2" t="s">
        <v>2455</v>
      </c>
      <c r="F621" s="2" t="s">
        <v>2405</v>
      </c>
      <c r="G621" s="4">
        <f t="shared" si="9"/>
        <v>1</v>
      </c>
      <c r="J621" s="2" t="s">
        <v>2652</v>
      </c>
      <c r="L621" s="7">
        <v>48.855394809000003</v>
      </c>
      <c r="M621" s="7">
        <v>2.7734339178799998</v>
      </c>
      <c r="N621" s="4" t="str">
        <f>VLOOKUP(C621,CHECKS!A:I,9,FALSE)</f>
        <v>#E2231A</v>
      </c>
      <c r="O621" s="4">
        <f>VLOOKUP(C621,CHECKS!A:I,6,FALSE)</f>
        <v>3.11</v>
      </c>
      <c r="P621" s="4">
        <f>VLOOKUP(C621,CHECKS!A:I,7,FALSE)</f>
        <v>4</v>
      </c>
      <c r="Q621" s="4">
        <f>VLOOKUP(C621,CHECKS!A:I,8,FALSE)</f>
        <v>7</v>
      </c>
      <c r="R621">
        <v>619</v>
      </c>
    </row>
    <row r="622" spans="1:18" x14ac:dyDescent="0.2">
      <c r="A622" s="4">
        <v>6210</v>
      </c>
      <c r="B622" s="2" t="s">
        <v>2456</v>
      </c>
      <c r="C622" s="4" t="s">
        <v>2344</v>
      </c>
      <c r="D622" s="2" t="s">
        <v>2406</v>
      </c>
      <c r="E622" s="2" t="s">
        <v>2454</v>
      </c>
      <c r="F622" s="2" t="s">
        <v>2406</v>
      </c>
      <c r="G622" s="4">
        <f t="shared" si="9"/>
        <v>1</v>
      </c>
      <c r="J622" s="2" t="s">
        <v>2405</v>
      </c>
      <c r="L622" s="7">
        <v>48.869950134900002</v>
      </c>
      <c r="M622" s="7">
        <v>2.78222672345</v>
      </c>
      <c r="N622" s="4" t="str">
        <f>VLOOKUP(C622,CHECKS!A:I,9,FALSE)</f>
        <v>#E2231A</v>
      </c>
      <c r="O622" s="4">
        <f>VLOOKUP(C622,CHECKS!A:I,6,FALSE)</f>
        <v>3.11</v>
      </c>
      <c r="P622" s="4">
        <f>VLOOKUP(C622,CHECKS!A:I,7,FALSE)</f>
        <v>4</v>
      </c>
      <c r="Q622" s="4">
        <f>VLOOKUP(C622,CHECKS!A:I,8,FALSE)</f>
        <v>7</v>
      </c>
      <c r="R622">
        <v>620</v>
      </c>
    </row>
    <row r="623" spans="1:18" x14ac:dyDescent="0.2">
      <c r="A623" s="4">
        <v>6220</v>
      </c>
      <c r="B623" s="2" t="s">
        <v>2457</v>
      </c>
      <c r="C623" s="4" t="s">
        <v>2344</v>
      </c>
      <c r="D623" s="2" t="s">
        <v>2407</v>
      </c>
      <c r="E623" s="2" t="s">
        <v>2458</v>
      </c>
      <c r="F623" s="2" t="s">
        <v>2407</v>
      </c>
      <c r="G623" s="4">
        <f t="shared" si="9"/>
        <v>1</v>
      </c>
      <c r="J623" s="2" t="s">
        <v>2653</v>
      </c>
      <c r="L623" s="7">
        <v>48.843720261599998</v>
      </c>
      <c r="M623" s="7">
        <v>2.46370803804</v>
      </c>
      <c r="N623" s="4" t="str">
        <f>VLOOKUP(C623,CHECKS!A:I,9,FALSE)</f>
        <v>#E2231A</v>
      </c>
      <c r="O623" s="4">
        <f>VLOOKUP(C623,CHECKS!A:I,6,FALSE)</f>
        <v>3.11</v>
      </c>
      <c r="P623" s="4">
        <f>VLOOKUP(C623,CHECKS!A:I,7,FALSE)</f>
        <v>4</v>
      </c>
      <c r="Q623" s="4">
        <f>VLOOKUP(C623,CHECKS!A:I,8,FALSE)</f>
        <v>7</v>
      </c>
      <c r="R623">
        <v>621</v>
      </c>
    </row>
    <row r="624" spans="1:18" x14ac:dyDescent="0.2">
      <c r="A624" s="4">
        <v>6230</v>
      </c>
      <c r="B624" s="2" t="s">
        <v>2459</v>
      </c>
      <c r="C624" s="4" t="s">
        <v>2344</v>
      </c>
      <c r="D624" s="2" t="s">
        <v>2408</v>
      </c>
      <c r="E624" s="2" t="s">
        <v>2460</v>
      </c>
      <c r="F624" s="2" t="s">
        <v>2408</v>
      </c>
      <c r="G624" s="4">
        <f t="shared" si="9"/>
        <v>1</v>
      </c>
      <c r="J624" s="2" t="s">
        <v>2654</v>
      </c>
      <c r="L624" s="7">
        <v>48.834288898899999</v>
      </c>
      <c r="M624" s="7">
        <v>2.4716812412100002</v>
      </c>
      <c r="N624" s="4" t="str">
        <f>VLOOKUP(C624,CHECKS!A:I,9,FALSE)</f>
        <v>#E2231A</v>
      </c>
      <c r="O624" s="4">
        <f>VLOOKUP(C624,CHECKS!A:I,6,FALSE)</f>
        <v>3.11</v>
      </c>
      <c r="P624" s="4">
        <f>VLOOKUP(C624,CHECKS!A:I,7,FALSE)</f>
        <v>4</v>
      </c>
      <c r="Q624" s="4">
        <f>VLOOKUP(C624,CHECKS!A:I,8,FALSE)</f>
        <v>7</v>
      </c>
      <c r="R624">
        <v>622</v>
      </c>
    </row>
    <row r="625" spans="1:18" x14ac:dyDescent="0.2">
      <c r="A625" s="4">
        <v>6240</v>
      </c>
      <c r="B625" s="2" t="s">
        <v>2461</v>
      </c>
      <c r="C625" s="4" t="s">
        <v>2344</v>
      </c>
      <c r="D625" s="2" t="s">
        <v>2409</v>
      </c>
      <c r="E625" s="2" t="s">
        <v>2462</v>
      </c>
      <c r="F625" s="2" t="s">
        <v>2409</v>
      </c>
      <c r="G625" s="4">
        <f t="shared" si="9"/>
        <v>1</v>
      </c>
      <c r="J625" s="2" t="s">
        <v>2655</v>
      </c>
      <c r="L625" s="7">
        <v>48.821038815100003</v>
      </c>
      <c r="M625" s="7">
        <v>2.4638567953599999</v>
      </c>
      <c r="N625" s="4" t="str">
        <f>VLOOKUP(C625,CHECKS!A:I,9,FALSE)</f>
        <v>#E2231A</v>
      </c>
      <c r="O625" s="4">
        <f>VLOOKUP(C625,CHECKS!A:I,6,FALSE)</f>
        <v>3.11</v>
      </c>
      <c r="P625" s="4">
        <f>VLOOKUP(C625,CHECKS!A:I,7,FALSE)</f>
        <v>4</v>
      </c>
      <c r="Q625" s="4">
        <f>VLOOKUP(C625,CHECKS!A:I,8,FALSE)</f>
        <v>7</v>
      </c>
      <c r="R625">
        <v>623</v>
      </c>
    </row>
    <row r="626" spans="1:18" x14ac:dyDescent="0.2">
      <c r="A626" s="4">
        <v>6250</v>
      </c>
      <c r="B626" s="2" t="s">
        <v>2463</v>
      </c>
      <c r="C626" s="4" t="s">
        <v>2344</v>
      </c>
      <c r="D626" s="2" t="s">
        <v>2410</v>
      </c>
      <c r="E626" s="2" t="s">
        <v>2464</v>
      </c>
      <c r="F626" s="2" t="s">
        <v>2410</v>
      </c>
      <c r="G626" s="4">
        <f t="shared" si="9"/>
        <v>1</v>
      </c>
      <c r="J626" s="2" t="s">
        <v>2656</v>
      </c>
      <c r="L626" s="7">
        <v>48.806200024799999</v>
      </c>
      <c r="M626" s="7">
        <v>2.4727204037999999</v>
      </c>
      <c r="N626" s="4" t="str">
        <f>VLOOKUP(C626,CHECKS!A:I,9,FALSE)</f>
        <v>#E2231A</v>
      </c>
      <c r="O626" s="4">
        <f>VLOOKUP(C626,CHECKS!A:I,6,FALSE)</f>
        <v>3.11</v>
      </c>
      <c r="P626" s="4">
        <f>VLOOKUP(C626,CHECKS!A:I,7,FALSE)</f>
        <v>4</v>
      </c>
      <c r="Q626" s="4">
        <f>VLOOKUP(C626,CHECKS!A:I,8,FALSE)</f>
        <v>7</v>
      </c>
      <c r="R626">
        <v>624</v>
      </c>
    </row>
    <row r="627" spans="1:18" x14ac:dyDescent="0.2">
      <c r="A627" s="4">
        <v>6260</v>
      </c>
      <c r="B627" s="2" t="s">
        <v>2465</v>
      </c>
      <c r="C627" s="4" t="s">
        <v>2344</v>
      </c>
      <c r="D627" s="2" t="s">
        <v>2411</v>
      </c>
      <c r="E627" s="2" t="s">
        <v>2466</v>
      </c>
      <c r="F627" s="2" t="s">
        <v>2411</v>
      </c>
      <c r="G627" s="4">
        <f t="shared" si="9"/>
        <v>1</v>
      </c>
      <c r="J627" s="2" t="s">
        <v>2657</v>
      </c>
      <c r="L627" s="7">
        <v>48.805377662200002</v>
      </c>
      <c r="M627" s="7">
        <v>2.4863497487799999</v>
      </c>
      <c r="N627" s="4" t="str">
        <f>VLOOKUP(C627,CHECKS!A:I,9,FALSE)</f>
        <v>#E2231A</v>
      </c>
      <c r="O627" s="4">
        <f>VLOOKUP(C627,CHECKS!A:I,6,FALSE)</f>
        <v>3.11</v>
      </c>
      <c r="P627" s="4">
        <f>VLOOKUP(C627,CHECKS!A:I,7,FALSE)</f>
        <v>4</v>
      </c>
      <c r="Q627" s="4">
        <f>VLOOKUP(C627,CHECKS!A:I,8,FALSE)</f>
        <v>7</v>
      </c>
      <c r="R627">
        <v>625</v>
      </c>
    </row>
    <row r="628" spans="1:18" x14ac:dyDescent="0.2">
      <c r="A628" s="4">
        <v>6270</v>
      </c>
      <c r="B628" s="2" t="s">
        <v>2467</v>
      </c>
      <c r="C628" s="4" t="s">
        <v>2344</v>
      </c>
      <c r="D628" s="2" t="s">
        <v>2412</v>
      </c>
      <c r="E628" s="2" t="s">
        <v>2468</v>
      </c>
      <c r="F628" s="2" t="s">
        <v>2412</v>
      </c>
      <c r="G628" s="4">
        <f t="shared" si="9"/>
        <v>1</v>
      </c>
      <c r="J628" s="2" t="s">
        <v>2658</v>
      </c>
      <c r="L628" s="7">
        <v>48.806985071600003</v>
      </c>
      <c r="M628" s="7">
        <v>2.5103072371200001</v>
      </c>
      <c r="N628" s="4" t="str">
        <f>VLOOKUP(C628,CHECKS!A:I,9,FALSE)</f>
        <v>#E2231A</v>
      </c>
      <c r="O628" s="4">
        <f>VLOOKUP(C628,CHECKS!A:I,6,FALSE)</f>
        <v>3.11</v>
      </c>
      <c r="P628" s="4">
        <f>VLOOKUP(C628,CHECKS!A:I,7,FALSE)</f>
        <v>4</v>
      </c>
      <c r="Q628" s="4">
        <f>VLOOKUP(C628,CHECKS!A:I,8,FALSE)</f>
        <v>7</v>
      </c>
      <c r="R628">
        <v>626</v>
      </c>
    </row>
    <row r="629" spans="1:18" x14ac:dyDescent="0.2">
      <c r="A629" s="4">
        <v>6280</v>
      </c>
      <c r="B629" s="2" t="s">
        <v>2469</v>
      </c>
      <c r="C629" s="4" t="s">
        <v>2344</v>
      </c>
      <c r="D629" s="2" t="s">
        <v>2413</v>
      </c>
      <c r="E629" s="2" t="s">
        <v>2470</v>
      </c>
      <c r="F629" s="2" t="s">
        <v>2413</v>
      </c>
      <c r="G629" s="4">
        <f t="shared" si="9"/>
        <v>1</v>
      </c>
      <c r="J629" s="2" t="s">
        <v>2659</v>
      </c>
      <c r="L629" s="7">
        <v>48.795383835599999</v>
      </c>
      <c r="M629" s="7">
        <v>2.5134232995499999</v>
      </c>
      <c r="N629" s="4" t="str">
        <f>VLOOKUP(C629,CHECKS!A:I,9,FALSE)</f>
        <v>#E2231A</v>
      </c>
      <c r="O629" s="4">
        <f>VLOOKUP(C629,CHECKS!A:I,6,FALSE)</f>
        <v>3.11</v>
      </c>
      <c r="P629" s="4">
        <f>VLOOKUP(C629,CHECKS!A:I,7,FALSE)</f>
        <v>4</v>
      </c>
      <c r="Q629" s="4">
        <f>VLOOKUP(C629,CHECKS!A:I,8,FALSE)</f>
        <v>7</v>
      </c>
      <c r="R629">
        <v>627</v>
      </c>
    </row>
    <row r="630" spans="1:18" x14ac:dyDescent="0.2">
      <c r="A630" s="4">
        <v>6290</v>
      </c>
      <c r="B630" s="2" t="s">
        <v>2471</v>
      </c>
      <c r="C630" s="4" t="s">
        <v>2344</v>
      </c>
      <c r="D630" s="2" t="s">
        <v>2414</v>
      </c>
      <c r="E630" s="2" t="s">
        <v>2472</v>
      </c>
      <c r="F630" s="2" t="s">
        <v>2414</v>
      </c>
      <c r="G630" s="4">
        <f t="shared" si="9"/>
        <v>1</v>
      </c>
      <c r="J630" s="2" t="s">
        <v>2660</v>
      </c>
      <c r="L630" s="7">
        <v>48.771707906099998</v>
      </c>
      <c r="M630" s="7">
        <v>2.5074826457200001</v>
      </c>
      <c r="N630" s="4" t="str">
        <f>VLOOKUP(C630,CHECKS!A:I,9,FALSE)</f>
        <v>#E2231A</v>
      </c>
      <c r="O630" s="4">
        <f>VLOOKUP(C630,CHECKS!A:I,6,FALSE)</f>
        <v>3.11</v>
      </c>
      <c r="P630" s="4">
        <f>VLOOKUP(C630,CHECKS!A:I,7,FALSE)</f>
        <v>4</v>
      </c>
      <c r="Q630" s="4">
        <f>VLOOKUP(C630,CHECKS!A:I,8,FALSE)</f>
        <v>7</v>
      </c>
      <c r="R630">
        <v>628</v>
      </c>
    </row>
    <row r="631" spans="1:18" x14ac:dyDescent="0.2">
      <c r="A631" s="4">
        <v>6300</v>
      </c>
      <c r="B631" s="2" t="s">
        <v>2473</v>
      </c>
      <c r="C631" s="4" t="s">
        <v>2344</v>
      </c>
      <c r="D631" s="2" t="s">
        <v>2415</v>
      </c>
      <c r="E631" s="2" t="s">
        <v>2471</v>
      </c>
      <c r="F631" s="2" t="s">
        <v>2415</v>
      </c>
      <c r="G631" s="4">
        <f t="shared" si="9"/>
        <v>1</v>
      </c>
      <c r="J631" s="2" t="s">
        <v>2414</v>
      </c>
      <c r="L631" s="7">
        <v>48.752185723499998</v>
      </c>
      <c r="M631" s="7">
        <v>2.5045598383200001</v>
      </c>
      <c r="N631" s="4" t="str">
        <f>VLOOKUP(C631,CHECKS!A:I,9,FALSE)</f>
        <v>#E2231A</v>
      </c>
      <c r="O631" s="4">
        <f>VLOOKUP(C631,CHECKS!A:I,6,FALSE)</f>
        <v>3.11</v>
      </c>
      <c r="P631" s="4">
        <f>VLOOKUP(C631,CHECKS!A:I,7,FALSE)</f>
        <v>4</v>
      </c>
      <c r="Q631" s="4">
        <f>VLOOKUP(C631,CHECKS!A:I,8,FALSE)</f>
        <v>7</v>
      </c>
      <c r="R631">
        <v>629</v>
      </c>
    </row>
    <row r="632" spans="1:18" x14ac:dyDescent="0.2">
      <c r="A632" s="4">
        <v>6310</v>
      </c>
      <c r="B632" s="2" t="s">
        <v>2482</v>
      </c>
      <c r="C632" s="4" t="s">
        <v>2476</v>
      </c>
      <c r="D632" s="2" t="s">
        <v>2529</v>
      </c>
      <c r="E632" s="2" t="s">
        <v>2483</v>
      </c>
      <c r="F632" s="2" t="s">
        <v>2529</v>
      </c>
      <c r="G632" s="4">
        <f t="shared" si="9"/>
        <v>1</v>
      </c>
      <c r="J632" s="2" t="s">
        <v>2530</v>
      </c>
      <c r="L632" s="7">
        <v>49.0097564521</v>
      </c>
      <c r="M632" s="7">
        <v>2.5612326952300002</v>
      </c>
      <c r="N632" s="4" t="str">
        <f>VLOOKUP(C632,CHECKS!A:I,9,FALSE)</f>
        <v>#7BA3DC</v>
      </c>
      <c r="O632" s="4">
        <f>VLOOKUP(C632,CHECKS!A:I,6,FALSE)</f>
        <v>2.78</v>
      </c>
      <c r="P632" s="4">
        <f>VLOOKUP(C632,CHECKS!A:I,7,FALSE)</f>
        <v>4</v>
      </c>
      <c r="Q632" s="4">
        <f>VLOOKUP(C632,CHECKS!A:I,8,FALSE)</f>
        <v>7</v>
      </c>
      <c r="R632">
        <v>630</v>
      </c>
    </row>
    <row r="633" spans="1:18" x14ac:dyDescent="0.2">
      <c r="A633" s="4">
        <v>6320</v>
      </c>
      <c r="B633" s="2" t="s">
        <v>2483</v>
      </c>
      <c r="C633" s="4" t="s">
        <v>2476</v>
      </c>
      <c r="D633" s="2" t="s">
        <v>2530</v>
      </c>
      <c r="E633" s="2" t="s">
        <v>2570</v>
      </c>
      <c r="F633" s="2" t="s">
        <v>2530</v>
      </c>
      <c r="G633" s="4">
        <f t="shared" si="9"/>
        <v>1</v>
      </c>
      <c r="J633" s="2" t="s">
        <v>2661</v>
      </c>
      <c r="L633" s="7">
        <v>49.004687461800003</v>
      </c>
      <c r="M633" s="7">
        <v>2.5705894855200002</v>
      </c>
      <c r="N633" s="4" t="str">
        <f>VLOOKUP(C633,CHECKS!A:I,9,FALSE)</f>
        <v>#7BA3DC</v>
      </c>
      <c r="O633" s="4">
        <f>VLOOKUP(C633,CHECKS!A:I,6,FALSE)</f>
        <v>2.78</v>
      </c>
      <c r="P633" s="4">
        <f>VLOOKUP(C633,CHECKS!A:I,7,FALSE)</f>
        <v>4</v>
      </c>
      <c r="Q633" s="4">
        <f>VLOOKUP(C633,CHECKS!A:I,8,FALSE)</f>
        <v>7</v>
      </c>
      <c r="R633">
        <v>631</v>
      </c>
    </row>
    <row r="634" spans="1:18" x14ac:dyDescent="0.2">
      <c r="A634" s="4">
        <v>6330</v>
      </c>
      <c r="B634" s="2" t="s">
        <v>2484</v>
      </c>
      <c r="C634" s="4" t="s">
        <v>2476</v>
      </c>
      <c r="D634" s="2" t="s">
        <v>2531</v>
      </c>
      <c r="E634" s="2" t="s">
        <v>2571</v>
      </c>
      <c r="F634" s="2" t="s">
        <v>2531</v>
      </c>
      <c r="G634" s="4">
        <f t="shared" si="9"/>
        <v>1</v>
      </c>
      <c r="J634" s="2" t="s">
        <v>2662</v>
      </c>
      <c r="L634" s="7">
        <v>48.973424906299996</v>
      </c>
      <c r="M634" s="7">
        <v>2.5143602841799999</v>
      </c>
      <c r="N634" s="4" t="str">
        <f>VLOOKUP(C634,CHECKS!A:I,9,FALSE)</f>
        <v>#7BA3DC</v>
      </c>
      <c r="O634" s="4">
        <f>VLOOKUP(C634,CHECKS!A:I,6,FALSE)</f>
        <v>2.78</v>
      </c>
      <c r="P634" s="4">
        <f>VLOOKUP(C634,CHECKS!A:I,7,FALSE)</f>
        <v>4</v>
      </c>
      <c r="Q634" s="4">
        <f>VLOOKUP(C634,CHECKS!A:I,8,FALSE)</f>
        <v>7</v>
      </c>
      <c r="R634">
        <v>632</v>
      </c>
    </row>
    <row r="635" spans="1:18" x14ac:dyDescent="0.2">
      <c r="A635" s="4">
        <v>6340</v>
      </c>
      <c r="B635" s="2" t="s">
        <v>2485</v>
      </c>
      <c r="C635" s="4" t="s">
        <v>2476</v>
      </c>
      <c r="D635" s="2" t="s">
        <v>2532</v>
      </c>
      <c r="E635" s="2" t="s">
        <v>2572</v>
      </c>
      <c r="F635" s="2" t="s">
        <v>2532</v>
      </c>
      <c r="G635" s="4">
        <f t="shared" si="9"/>
        <v>1</v>
      </c>
      <c r="J635" s="2" t="s">
        <v>2663</v>
      </c>
      <c r="L635" s="7">
        <v>48.962709513299998</v>
      </c>
      <c r="M635" s="7">
        <v>2.5126446278199999</v>
      </c>
      <c r="N635" s="4" t="str">
        <f>VLOOKUP(C635,CHECKS!A:I,9,FALSE)</f>
        <v>#7BA3DC</v>
      </c>
      <c r="O635" s="4">
        <f>VLOOKUP(C635,CHECKS!A:I,6,FALSE)</f>
        <v>2.78</v>
      </c>
      <c r="P635" s="4">
        <f>VLOOKUP(C635,CHECKS!A:I,7,FALSE)</f>
        <v>4</v>
      </c>
      <c r="Q635" s="4">
        <f>VLOOKUP(C635,CHECKS!A:I,8,FALSE)</f>
        <v>7</v>
      </c>
      <c r="R635">
        <v>633</v>
      </c>
    </row>
    <row r="636" spans="1:18" x14ac:dyDescent="0.2">
      <c r="A636" s="4">
        <v>6350</v>
      </c>
      <c r="B636" s="2" t="s">
        <v>2486</v>
      </c>
      <c r="C636" s="4" t="s">
        <v>2476</v>
      </c>
      <c r="D636" s="2" t="s">
        <v>2533</v>
      </c>
      <c r="E636" s="2" t="s">
        <v>2573</v>
      </c>
      <c r="F636" s="2" t="s">
        <v>2533</v>
      </c>
      <c r="G636" s="4">
        <f t="shared" si="9"/>
        <v>1</v>
      </c>
      <c r="J636" s="2" t="s">
        <v>2664</v>
      </c>
      <c r="L636" s="7">
        <v>48.947607555899999</v>
      </c>
      <c r="M636" s="7">
        <v>2.52471638941</v>
      </c>
      <c r="N636" s="4" t="str">
        <f>VLOOKUP(C636,CHECKS!A:I,9,FALSE)</f>
        <v>#7BA3DC</v>
      </c>
      <c r="O636" s="4">
        <f>VLOOKUP(C636,CHECKS!A:I,6,FALSE)</f>
        <v>2.78</v>
      </c>
      <c r="P636" s="4">
        <f>VLOOKUP(C636,CHECKS!A:I,7,FALSE)</f>
        <v>4</v>
      </c>
      <c r="Q636" s="4">
        <f>VLOOKUP(C636,CHECKS!A:I,8,FALSE)</f>
        <v>7</v>
      </c>
      <c r="R636">
        <v>634</v>
      </c>
    </row>
    <row r="637" spans="1:18" x14ac:dyDescent="0.2">
      <c r="A637" s="4">
        <v>6360</v>
      </c>
      <c r="B637" s="2" t="s">
        <v>2487</v>
      </c>
      <c r="C637" s="4" t="s">
        <v>2476</v>
      </c>
      <c r="D637" s="2" t="s">
        <v>2534</v>
      </c>
      <c r="E637" s="2" t="s">
        <v>2488</v>
      </c>
      <c r="F637" s="2" t="s">
        <v>2534</v>
      </c>
      <c r="G637" s="4">
        <f t="shared" si="9"/>
        <v>1</v>
      </c>
      <c r="J637" s="2" t="s">
        <v>2535</v>
      </c>
      <c r="L637" s="7">
        <v>48.975858755799997</v>
      </c>
      <c r="M637" s="7">
        <v>2.6424063050300002</v>
      </c>
      <c r="N637" s="4" t="str">
        <f>VLOOKUP(C637,CHECKS!A:I,9,FALSE)</f>
        <v>#7BA3DC</v>
      </c>
      <c r="O637" s="4">
        <f>VLOOKUP(C637,CHECKS!A:I,6,FALSE)</f>
        <v>2.78</v>
      </c>
      <c r="P637" s="4">
        <f>VLOOKUP(C637,CHECKS!A:I,7,FALSE)</f>
        <v>4</v>
      </c>
      <c r="Q637" s="4">
        <f>VLOOKUP(C637,CHECKS!A:I,8,FALSE)</f>
        <v>7</v>
      </c>
      <c r="R637">
        <v>635</v>
      </c>
    </row>
    <row r="638" spans="1:18" x14ac:dyDescent="0.2">
      <c r="A638" s="4">
        <v>6370</v>
      </c>
      <c r="B638" s="2" t="s">
        <v>2488</v>
      </c>
      <c r="C638" s="4" t="s">
        <v>2476</v>
      </c>
      <c r="D638" s="2" t="s">
        <v>2535</v>
      </c>
      <c r="E638" s="2" t="s">
        <v>2574</v>
      </c>
      <c r="F638" s="2" t="s">
        <v>2535</v>
      </c>
      <c r="G638" s="4">
        <f t="shared" si="9"/>
        <v>1</v>
      </c>
      <c r="J638" s="2" t="s">
        <v>2665</v>
      </c>
      <c r="L638" s="7">
        <v>48.953148387600002</v>
      </c>
      <c r="M638" s="7">
        <v>2.6031353051199999</v>
      </c>
      <c r="N638" s="4" t="str">
        <f>VLOOKUP(C638,CHECKS!A:I,9,FALSE)</f>
        <v>#7BA3DC</v>
      </c>
      <c r="O638" s="4">
        <f>VLOOKUP(C638,CHECKS!A:I,6,FALSE)</f>
        <v>2.78</v>
      </c>
      <c r="P638" s="4">
        <f>VLOOKUP(C638,CHECKS!A:I,7,FALSE)</f>
        <v>4</v>
      </c>
      <c r="Q638" s="4">
        <f>VLOOKUP(C638,CHECKS!A:I,8,FALSE)</f>
        <v>7</v>
      </c>
      <c r="R638">
        <v>636</v>
      </c>
    </row>
    <row r="639" spans="1:18" x14ac:dyDescent="0.2">
      <c r="A639" s="4">
        <v>6380</v>
      </c>
      <c r="B639" s="2" t="s">
        <v>2489</v>
      </c>
      <c r="C639" s="4" t="s">
        <v>2476</v>
      </c>
      <c r="D639" s="2" t="s">
        <v>2536</v>
      </c>
      <c r="E639" s="2" t="s">
        <v>2575</v>
      </c>
      <c r="F639" s="2" t="s">
        <v>2536</v>
      </c>
      <c r="G639" s="4">
        <f t="shared" si="9"/>
        <v>1</v>
      </c>
      <c r="J639" s="2" t="s">
        <v>2666</v>
      </c>
      <c r="L639" s="7">
        <v>48.944181065099997</v>
      </c>
      <c r="M639" s="7">
        <v>2.5664480169699999</v>
      </c>
      <c r="N639" s="4" t="str">
        <f>VLOOKUP(C639,CHECKS!A:I,9,FALSE)</f>
        <v>#7BA3DC</v>
      </c>
      <c r="O639" s="4">
        <f>VLOOKUP(C639,CHECKS!A:I,6,FALSE)</f>
        <v>2.78</v>
      </c>
      <c r="P639" s="4">
        <f>VLOOKUP(C639,CHECKS!A:I,7,FALSE)</f>
        <v>4</v>
      </c>
      <c r="Q639" s="4">
        <f>VLOOKUP(C639,CHECKS!A:I,8,FALSE)</f>
        <v>7</v>
      </c>
      <c r="R639">
        <v>637</v>
      </c>
    </row>
    <row r="640" spans="1:18" x14ac:dyDescent="0.2">
      <c r="A640" s="4">
        <v>6390</v>
      </c>
      <c r="B640" s="2" t="s">
        <v>2490</v>
      </c>
      <c r="C640" s="4" t="s">
        <v>2476</v>
      </c>
      <c r="D640" s="2" t="s">
        <v>2537</v>
      </c>
      <c r="E640" s="2" t="s">
        <v>2576</v>
      </c>
      <c r="F640" s="2" t="s">
        <v>2537</v>
      </c>
      <c r="G640" s="4">
        <f t="shared" si="9"/>
        <v>1</v>
      </c>
      <c r="J640" s="2" t="s">
        <v>2667</v>
      </c>
      <c r="L640" s="7">
        <v>48.936280185699999</v>
      </c>
      <c r="M640" s="7">
        <v>2.5347149774700002</v>
      </c>
      <c r="N640" s="4" t="str">
        <f>VLOOKUP(C640,CHECKS!A:I,9,FALSE)</f>
        <v>#7BA3DC</v>
      </c>
      <c r="O640" s="4">
        <f>VLOOKUP(C640,CHECKS!A:I,6,FALSE)</f>
        <v>2.78</v>
      </c>
      <c r="P640" s="4">
        <f>VLOOKUP(C640,CHECKS!A:I,7,FALSE)</f>
        <v>4</v>
      </c>
      <c r="Q640" s="4">
        <f>VLOOKUP(C640,CHECKS!A:I,8,FALSE)</f>
        <v>7</v>
      </c>
      <c r="R640">
        <v>638</v>
      </c>
    </row>
    <row r="641" spans="1:18" x14ac:dyDescent="0.2">
      <c r="A641" s="4">
        <v>6400</v>
      </c>
      <c r="B641" s="2" t="s">
        <v>2491</v>
      </c>
      <c r="C641" s="4" t="s">
        <v>2476</v>
      </c>
      <c r="D641" s="2" t="s">
        <v>1961</v>
      </c>
      <c r="E641" s="2" t="s">
        <v>2577</v>
      </c>
      <c r="F641" s="2" t="s">
        <v>1961</v>
      </c>
      <c r="G641" s="4">
        <f t="shared" si="9"/>
        <v>2</v>
      </c>
      <c r="I641" s="2" t="s">
        <v>2054</v>
      </c>
      <c r="J641" s="2" t="s">
        <v>2668</v>
      </c>
      <c r="L641" s="7">
        <v>48.932196005100003</v>
      </c>
      <c r="M641" s="7">
        <v>2.49551314123</v>
      </c>
      <c r="N641" s="4" t="str">
        <f>VLOOKUP(C641,CHECKS!A:I,9,FALSE)</f>
        <v>#7BA3DC</v>
      </c>
      <c r="O641" s="4">
        <f>VLOOKUP(C641,CHECKS!A:I,6,FALSE)</f>
        <v>2.78</v>
      </c>
      <c r="P641" s="4">
        <f>VLOOKUP(C641,CHECKS!A:I,7,FALSE)</f>
        <v>4</v>
      </c>
      <c r="Q641" s="4">
        <f>VLOOKUP(C641,CHECKS!A:I,8,FALSE)</f>
        <v>7</v>
      </c>
      <c r="R641">
        <v>639</v>
      </c>
    </row>
    <row r="642" spans="1:18" x14ac:dyDescent="0.2">
      <c r="A642" s="4">
        <v>6410</v>
      </c>
      <c r="B642" s="2" t="s">
        <v>2492</v>
      </c>
      <c r="C642" s="4" t="s">
        <v>2476</v>
      </c>
      <c r="D642" s="2" t="s">
        <v>2538</v>
      </c>
      <c r="E642" s="2" t="s">
        <v>2578</v>
      </c>
      <c r="F642" s="2" t="s">
        <v>2538</v>
      </c>
      <c r="G642" s="4">
        <f t="shared" ref="G642:G705" si="10">COUNTIF(F:F,F642)</f>
        <v>1</v>
      </c>
      <c r="J642" s="2" t="s">
        <v>2669</v>
      </c>
      <c r="L642" s="7">
        <v>48.9323054161</v>
      </c>
      <c r="M642" s="7">
        <v>2.4756743708300002</v>
      </c>
      <c r="N642" s="4" t="str">
        <f>VLOOKUP(C642,CHECKS!A:I,9,FALSE)</f>
        <v>#7BA3DC</v>
      </c>
      <c r="O642" s="4">
        <f>VLOOKUP(C642,CHECKS!A:I,6,FALSE)</f>
        <v>2.78</v>
      </c>
      <c r="P642" s="4">
        <f>VLOOKUP(C642,CHECKS!A:I,7,FALSE)</f>
        <v>4</v>
      </c>
      <c r="Q642" s="4">
        <f>VLOOKUP(C642,CHECKS!A:I,8,FALSE)</f>
        <v>7</v>
      </c>
      <c r="R642">
        <v>640</v>
      </c>
    </row>
    <row r="643" spans="1:18" x14ac:dyDescent="0.2">
      <c r="A643" s="4">
        <v>6420</v>
      </c>
      <c r="B643" s="2" t="s">
        <v>2493</v>
      </c>
      <c r="C643" s="4" t="s">
        <v>2476</v>
      </c>
      <c r="D643" s="2" t="s">
        <v>1546</v>
      </c>
      <c r="E643" s="2" t="s">
        <v>2579</v>
      </c>
      <c r="F643" s="2" t="s">
        <v>1546</v>
      </c>
      <c r="G643" s="4">
        <f t="shared" si="10"/>
        <v>2</v>
      </c>
      <c r="J643" s="2" t="s">
        <v>2670</v>
      </c>
      <c r="L643" s="7">
        <v>48.932706218699998</v>
      </c>
      <c r="M643" s="7">
        <v>2.4547663827699999</v>
      </c>
      <c r="N643" s="4" t="str">
        <f>VLOOKUP(C643,CHECKS!A:I,9,FALSE)</f>
        <v>#7BA3DC</v>
      </c>
      <c r="O643" s="4">
        <f>VLOOKUP(C643,CHECKS!A:I,6,FALSE)</f>
        <v>2.78</v>
      </c>
      <c r="P643" s="4">
        <f>VLOOKUP(C643,CHECKS!A:I,7,FALSE)</f>
        <v>4</v>
      </c>
      <c r="Q643" s="4">
        <f>VLOOKUP(C643,CHECKS!A:I,8,FALSE)</f>
        <v>7</v>
      </c>
      <c r="R643">
        <v>641</v>
      </c>
    </row>
    <row r="644" spans="1:18" x14ac:dyDescent="0.2">
      <c r="A644" s="4">
        <v>6430</v>
      </c>
      <c r="B644" s="2" t="s">
        <v>2494</v>
      </c>
      <c r="C644" s="4" t="s">
        <v>2476</v>
      </c>
      <c r="D644" s="2" t="s">
        <v>2034</v>
      </c>
      <c r="E644" s="2" t="s">
        <v>2580</v>
      </c>
      <c r="F644" s="2" t="s">
        <v>2034</v>
      </c>
      <c r="G644" s="4">
        <f t="shared" si="10"/>
        <v>2</v>
      </c>
      <c r="I644" s="2" t="s">
        <v>2201</v>
      </c>
      <c r="J644" s="2" t="s">
        <v>2671</v>
      </c>
      <c r="L644" s="7">
        <v>48.9307395712</v>
      </c>
      <c r="M644" s="7">
        <v>2.42579142691</v>
      </c>
      <c r="N644" s="4" t="str">
        <f>VLOOKUP(C644,CHECKS!A:I,9,FALSE)</f>
        <v>#7BA3DC</v>
      </c>
      <c r="O644" s="4">
        <f>VLOOKUP(C644,CHECKS!A:I,6,FALSE)</f>
        <v>2.78</v>
      </c>
      <c r="P644" s="4">
        <f>VLOOKUP(C644,CHECKS!A:I,7,FALSE)</f>
        <v>4</v>
      </c>
      <c r="Q644" s="4">
        <f>VLOOKUP(C644,CHECKS!A:I,8,FALSE)</f>
        <v>7</v>
      </c>
      <c r="R644">
        <v>642</v>
      </c>
    </row>
    <row r="645" spans="1:18" x14ac:dyDescent="0.2">
      <c r="A645" s="4">
        <v>6440</v>
      </c>
      <c r="B645" s="2" t="s">
        <v>2495</v>
      </c>
      <c r="C645" s="4" t="s">
        <v>2476</v>
      </c>
      <c r="D645" s="2" t="s">
        <v>2539</v>
      </c>
      <c r="E645" s="2" t="s">
        <v>2581</v>
      </c>
      <c r="F645" s="2" t="s">
        <v>2539</v>
      </c>
      <c r="G645" s="4">
        <f t="shared" si="10"/>
        <v>1</v>
      </c>
      <c r="J645" s="2" t="s">
        <v>2672</v>
      </c>
      <c r="L645" s="7">
        <v>48.9243538797</v>
      </c>
      <c r="M645" s="7">
        <v>2.3863882910599998</v>
      </c>
      <c r="N645" s="4" t="str">
        <f>VLOOKUP(C645,CHECKS!A:I,9,FALSE)</f>
        <v>#7BA3DC</v>
      </c>
      <c r="O645" s="4">
        <f>VLOOKUP(C645,CHECKS!A:I,6,FALSE)</f>
        <v>2.78</v>
      </c>
      <c r="P645" s="4">
        <f>VLOOKUP(C645,CHECKS!A:I,7,FALSE)</f>
        <v>4</v>
      </c>
      <c r="Q645" s="4">
        <f>VLOOKUP(C645,CHECKS!A:I,8,FALSE)</f>
        <v>7</v>
      </c>
      <c r="R645">
        <v>643</v>
      </c>
    </row>
    <row r="646" spans="1:18" x14ac:dyDescent="0.2">
      <c r="A646" s="4">
        <v>6450</v>
      </c>
      <c r="B646" s="2" t="s">
        <v>2496</v>
      </c>
      <c r="C646" s="4" t="s">
        <v>2476</v>
      </c>
      <c r="D646" s="2" t="s">
        <v>2540</v>
      </c>
      <c r="E646" s="2" t="s">
        <v>2582</v>
      </c>
      <c r="F646" s="2" t="s">
        <v>2540</v>
      </c>
      <c r="G646" s="4">
        <f t="shared" si="10"/>
        <v>1</v>
      </c>
      <c r="J646" s="2" t="s">
        <v>2673</v>
      </c>
      <c r="L646" s="7">
        <v>48.918113804000001</v>
      </c>
      <c r="M646" s="7">
        <v>2.3626656001800002</v>
      </c>
      <c r="N646" s="4" t="str">
        <f>VLOOKUP(C646,CHECKS!A:I,9,FALSE)</f>
        <v>#7BA3DC</v>
      </c>
      <c r="O646" s="4">
        <f>VLOOKUP(C646,CHECKS!A:I,6,FALSE)</f>
        <v>2.78</v>
      </c>
      <c r="P646" s="4">
        <f>VLOOKUP(C646,CHECKS!A:I,7,FALSE)</f>
        <v>4</v>
      </c>
      <c r="Q646" s="4">
        <f>VLOOKUP(C646,CHECKS!A:I,8,FALSE)</f>
        <v>7</v>
      </c>
      <c r="R646">
        <v>644</v>
      </c>
    </row>
    <row r="647" spans="1:18" x14ac:dyDescent="0.2">
      <c r="A647" s="4">
        <v>6460</v>
      </c>
      <c r="B647" s="2" t="s">
        <v>2497</v>
      </c>
      <c r="C647" s="4" t="s">
        <v>2476</v>
      </c>
      <c r="D647" s="2" t="s">
        <v>310</v>
      </c>
      <c r="E647" s="2" t="s">
        <v>2583</v>
      </c>
      <c r="F647" s="2" t="s">
        <v>310</v>
      </c>
      <c r="G647" s="4">
        <f t="shared" si="10"/>
        <v>3</v>
      </c>
      <c r="I647" s="2" t="s">
        <v>2615</v>
      </c>
      <c r="J647" s="2" t="s">
        <v>2674</v>
      </c>
      <c r="L647" s="7">
        <v>48.880768958300003</v>
      </c>
      <c r="M647" s="7">
        <v>2.35711533495</v>
      </c>
      <c r="N647" s="4" t="str">
        <f>VLOOKUP(C647,CHECKS!A:I,9,FALSE)</f>
        <v>#7BA3DC</v>
      </c>
      <c r="O647" s="4">
        <f>VLOOKUP(C647,CHECKS!A:I,6,FALSE)</f>
        <v>2.78</v>
      </c>
      <c r="P647" s="4">
        <f>VLOOKUP(C647,CHECKS!A:I,7,FALSE)</f>
        <v>4</v>
      </c>
      <c r="Q647" s="4">
        <f>VLOOKUP(C647,CHECKS!A:I,8,FALSE)</f>
        <v>7</v>
      </c>
      <c r="R647">
        <v>645</v>
      </c>
    </row>
    <row r="648" spans="1:18" x14ac:dyDescent="0.2">
      <c r="A648" s="4">
        <v>6470</v>
      </c>
      <c r="B648" s="2" t="s">
        <v>2498</v>
      </c>
      <c r="C648" s="4" t="s">
        <v>2476</v>
      </c>
      <c r="D648" s="2" t="s">
        <v>2394</v>
      </c>
      <c r="E648" s="2" t="s">
        <v>2584</v>
      </c>
      <c r="F648" s="2" t="s">
        <v>20</v>
      </c>
      <c r="G648" s="4">
        <f t="shared" si="10"/>
        <v>7</v>
      </c>
      <c r="H648" s="2" t="s">
        <v>2373</v>
      </c>
      <c r="J648" s="2" t="s">
        <v>2675</v>
      </c>
      <c r="K648" s="2" t="s">
        <v>2394</v>
      </c>
      <c r="L648" s="7">
        <v>48.861822274600001</v>
      </c>
      <c r="M648" s="7">
        <v>2.3470126872199999</v>
      </c>
      <c r="N648" s="4" t="str">
        <f>VLOOKUP(C648,CHECKS!A:I,9,FALSE)</f>
        <v>#7BA3DC</v>
      </c>
      <c r="O648" s="4">
        <f>VLOOKUP(C648,CHECKS!A:I,6,FALSE)</f>
        <v>2.78</v>
      </c>
      <c r="P648" s="4">
        <f>VLOOKUP(C648,CHECKS!A:I,7,FALSE)</f>
        <v>4</v>
      </c>
      <c r="Q648" s="4">
        <f>VLOOKUP(C648,CHECKS!A:I,8,FALSE)</f>
        <v>7</v>
      </c>
      <c r="R648">
        <v>646</v>
      </c>
    </row>
    <row r="649" spans="1:18" x14ac:dyDescent="0.2">
      <c r="A649" s="4">
        <v>6480</v>
      </c>
      <c r="B649" s="2" t="s">
        <v>2499</v>
      </c>
      <c r="C649" s="4" t="s">
        <v>2476</v>
      </c>
      <c r="D649" s="2" t="s">
        <v>2541</v>
      </c>
      <c r="E649" s="2" t="s">
        <v>2585</v>
      </c>
      <c r="F649" s="2" t="s">
        <v>2541</v>
      </c>
      <c r="G649" s="4">
        <f t="shared" si="10"/>
        <v>1</v>
      </c>
      <c r="I649" s="2" t="s">
        <v>964</v>
      </c>
      <c r="J649" s="2" t="s">
        <v>2676</v>
      </c>
      <c r="L649" s="7">
        <v>48.853335796499998</v>
      </c>
      <c r="M649" s="7">
        <v>2.3460349844400001</v>
      </c>
      <c r="N649" s="4" t="str">
        <f>VLOOKUP(C649,CHECKS!A:I,9,FALSE)</f>
        <v>#7BA3DC</v>
      </c>
      <c r="O649" s="4">
        <f>VLOOKUP(C649,CHECKS!A:I,6,FALSE)</f>
        <v>2.78</v>
      </c>
      <c r="P649" s="4">
        <f>VLOOKUP(C649,CHECKS!A:I,7,FALSE)</f>
        <v>4</v>
      </c>
      <c r="Q649" s="4">
        <f>VLOOKUP(C649,CHECKS!A:I,8,FALSE)</f>
        <v>7</v>
      </c>
      <c r="R649">
        <v>647</v>
      </c>
    </row>
    <row r="650" spans="1:18" x14ac:dyDescent="0.2">
      <c r="A650" s="4">
        <v>6490</v>
      </c>
      <c r="B650" s="2" t="s">
        <v>2500</v>
      </c>
      <c r="C650" s="4" t="s">
        <v>2476</v>
      </c>
      <c r="D650" s="2" t="s">
        <v>2542</v>
      </c>
      <c r="E650" s="2" t="s">
        <v>2586</v>
      </c>
      <c r="F650" s="2" t="s">
        <v>2542</v>
      </c>
      <c r="G650" s="4">
        <f t="shared" si="10"/>
        <v>1</v>
      </c>
      <c r="J650" s="2" t="s">
        <v>2677</v>
      </c>
      <c r="L650" s="7">
        <v>48.845743073199998</v>
      </c>
      <c r="M650" s="7">
        <v>2.33992799972</v>
      </c>
      <c r="N650" s="4" t="str">
        <f>VLOOKUP(C650,CHECKS!A:I,9,FALSE)</f>
        <v>#7BA3DC</v>
      </c>
      <c r="O650" s="4">
        <f>VLOOKUP(C650,CHECKS!A:I,6,FALSE)</f>
        <v>2.78</v>
      </c>
      <c r="P650" s="4">
        <f>VLOOKUP(C650,CHECKS!A:I,7,FALSE)</f>
        <v>4</v>
      </c>
      <c r="Q650" s="4">
        <f>VLOOKUP(C650,CHECKS!A:I,8,FALSE)</f>
        <v>7</v>
      </c>
      <c r="R650">
        <v>648</v>
      </c>
    </row>
    <row r="651" spans="1:18" x14ac:dyDescent="0.2">
      <c r="A651" s="4">
        <v>6500</v>
      </c>
      <c r="B651" s="2" t="s">
        <v>2501</v>
      </c>
      <c r="C651" s="4" t="s">
        <v>2476</v>
      </c>
      <c r="D651" s="2" t="s">
        <v>2543</v>
      </c>
      <c r="E651" s="2" t="s">
        <v>2587</v>
      </c>
      <c r="F651" s="2" t="s">
        <v>2543</v>
      </c>
      <c r="G651" s="4">
        <f t="shared" si="10"/>
        <v>1</v>
      </c>
      <c r="J651" s="2" t="s">
        <v>2678</v>
      </c>
      <c r="L651" s="7">
        <v>48.840033786500001</v>
      </c>
      <c r="M651" s="7">
        <v>2.33709643089</v>
      </c>
      <c r="N651" s="4" t="str">
        <f>VLOOKUP(C651,CHECKS!A:I,9,FALSE)</f>
        <v>#7BA3DC</v>
      </c>
      <c r="O651" s="4">
        <f>VLOOKUP(C651,CHECKS!A:I,6,FALSE)</f>
        <v>2.78</v>
      </c>
      <c r="P651" s="4">
        <f>VLOOKUP(C651,CHECKS!A:I,7,FALSE)</f>
        <v>4</v>
      </c>
      <c r="Q651" s="4">
        <f>VLOOKUP(C651,CHECKS!A:I,8,FALSE)</f>
        <v>7</v>
      </c>
      <c r="R651">
        <v>649</v>
      </c>
    </row>
    <row r="652" spans="1:18" x14ac:dyDescent="0.2">
      <c r="A652" s="4">
        <v>6510</v>
      </c>
      <c r="B652" s="2" t="s">
        <v>2502</v>
      </c>
      <c r="C652" s="4" t="s">
        <v>2476</v>
      </c>
      <c r="D652" s="2" t="s">
        <v>325</v>
      </c>
      <c r="E652" s="2" t="s">
        <v>2588</v>
      </c>
      <c r="F652" s="2" t="s">
        <v>325</v>
      </c>
      <c r="G652" s="4">
        <f t="shared" si="10"/>
        <v>3</v>
      </c>
      <c r="I652" s="2" t="s">
        <v>2616</v>
      </c>
      <c r="J652" s="2" t="s">
        <v>2679</v>
      </c>
      <c r="L652" s="7">
        <v>48.834292980500003</v>
      </c>
      <c r="M652" s="7">
        <v>2.3328523099599998</v>
      </c>
      <c r="N652" s="4" t="str">
        <f>VLOOKUP(C652,CHECKS!A:I,9,FALSE)</f>
        <v>#7BA3DC</v>
      </c>
      <c r="O652" s="4">
        <f>VLOOKUP(C652,CHECKS!A:I,6,FALSE)</f>
        <v>2.78</v>
      </c>
      <c r="P652" s="4">
        <f>VLOOKUP(C652,CHECKS!A:I,7,FALSE)</f>
        <v>4</v>
      </c>
      <c r="Q652" s="4">
        <f>VLOOKUP(C652,CHECKS!A:I,8,FALSE)</f>
        <v>7</v>
      </c>
      <c r="R652">
        <v>650</v>
      </c>
    </row>
    <row r="653" spans="1:18" x14ac:dyDescent="0.2">
      <c r="A653" s="4">
        <v>6520</v>
      </c>
      <c r="B653" s="2" t="s">
        <v>2503</v>
      </c>
      <c r="C653" s="4" t="s">
        <v>2476</v>
      </c>
      <c r="D653" s="2" t="s">
        <v>1704</v>
      </c>
      <c r="E653" s="2" t="s">
        <v>2589</v>
      </c>
      <c r="F653" s="2" t="s">
        <v>1704</v>
      </c>
      <c r="G653" s="4">
        <f t="shared" si="10"/>
        <v>2</v>
      </c>
      <c r="I653" s="2" t="s">
        <v>1734</v>
      </c>
      <c r="J653" s="2" t="s">
        <v>2680</v>
      </c>
      <c r="L653" s="7">
        <v>48.821089650600001</v>
      </c>
      <c r="M653" s="7">
        <v>2.33897847201</v>
      </c>
      <c r="N653" s="4" t="str">
        <f>VLOOKUP(C653,CHECKS!A:I,9,FALSE)</f>
        <v>#7BA3DC</v>
      </c>
      <c r="O653" s="4">
        <f>VLOOKUP(C653,CHECKS!A:I,6,FALSE)</f>
        <v>2.78</v>
      </c>
      <c r="P653" s="4">
        <f>VLOOKUP(C653,CHECKS!A:I,7,FALSE)</f>
        <v>4</v>
      </c>
      <c r="Q653" s="4">
        <f>VLOOKUP(C653,CHECKS!A:I,8,FALSE)</f>
        <v>7</v>
      </c>
      <c r="R653">
        <v>651</v>
      </c>
    </row>
    <row r="654" spans="1:18" x14ac:dyDescent="0.2">
      <c r="A654" s="4">
        <v>6530</v>
      </c>
      <c r="B654" s="2" t="s">
        <v>2504</v>
      </c>
      <c r="C654" s="4" t="s">
        <v>2476</v>
      </c>
      <c r="D654" s="2" t="s">
        <v>2544</v>
      </c>
      <c r="E654" s="2" t="s">
        <v>2590</v>
      </c>
      <c r="F654" s="2" t="s">
        <v>2544</v>
      </c>
      <c r="G654" s="4">
        <f t="shared" si="10"/>
        <v>1</v>
      </c>
      <c r="J654" s="2" t="s">
        <v>2681</v>
      </c>
      <c r="L654" s="7">
        <v>48.815229936500003</v>
      </c>
      <c r="M654" s="7">
        <v>2.3408911324199999</v>
      </c>
      <c r="N654" s="4" t="str">
        <f>VLOOKUP(C654,CHECKS!A:I,9,FALSE)</f>
        <v>#7BA3DC</v>
      </c>
      <c r="O654" s="4">
        <f>VLOOKUP(C654,CHECKS!A:I,6,FALSE)</f>
        <v>2.78</v>
      </c>
      <c r="P654" s="4">
        <f>VLOOKUP(C654,CHECKS!A:I,7,FALSE)</f>
        <v>4</v>
      </c>
      <c r="Q654" s="4">
        <f>VLOOKUP(C654,CHECKS!A:I,8,FALSE)</f>
        <v>7</v>
      </c>
      <c r="R654">
        <v>652</v>
      </c>
    </row>
    <row r="655" spans="1:18" x14ac:dyDescent="0.2">
      <c r="A655" s="4">
        <v>6540</v>
      </c>
      <c r="B655" s="2" t="s">
        <v>2505</v>
      </c>
      <c r="C655" s="4" t="s">
        <v>2476</v>
      </c>
      <c r="D655" s="2" t="s">
        <v>2545</v>
      </c>
      <c r="E655" s="2" t="s">
        <v>2591</v>
      </c>
      <c r="F655" s="2" t="s">
        <v>2545</v>
      </c>
      <c r="G655" s="4">
        <f t="shared" si="10"/>
        <v>1</v>
      </c>
      <c r="J655" s="2" t="s">
        <v>2682</v>
      </c>
      <c r="L655" s="7">
        <v>48.808296586799997</v>
      </c>
      <c r="M655" s="7">
        <v>2.3343543069399999</v>
      </c>
      <c r="N655" s="4" t="str">
        <f>VLOOKUP(C655,CHECKS!A:I,9,FALSE)</f>
        <v>#7BA3DC</v>
      </c>
      <c r="O655" s="4">
        <f>VLOOKUP(C655,CHECKS!A:I,6,FALSE)</f>
        <v>2.78</v>
      </c>
      <c r="P655" s="4">
        <f>VLOOKUP(C655,CHECKS!A:I,7,FALSE)</f>
        <v>4</v>
      </c>
      <c r="Q655" s="4">
        <f>VLOOKUP(C655,CHECKS!A:I,8,FALSE)</f>
        <v>7</v>
      </c>
      <c r="R655">
        <v>653</v>
      </c>
    </row>
    <row r="656" spans="1:18" x14ac:dyDescent="0.2">
      <c r="A656" s="4">
        <v>6550</v>
      </c>
      <c r="B656" s="2" t="s">
        <v>2506</v>
      </c>
      <c r="C656" s="4" t="s">
        <v>2476</v>
      </c>
      <c r="D656" s="2" t="s">
        <v>2546</v>
      </c>
      <c r="E656" s="2" t="s">
        <v>2592</v>
      </c>
      <c r="F656" s="2" t="s">
        <v>2546</v>
      </c>
      <c r="G656" s="4">
        <f t="shared" si="10"/>
        <v>1</v>
      </c>
      <c r="J656" s="2" t="s">
        <v>2683</v>
      </c>
      <c r="L656" s="7">
        <v>48.798892500100003</v>
      </c>
      <c r="M656" s="7">
        <v>2.3281369230600002</v>
      </c>
      <c r="N656" s="4" t="str">
        <f>VLOOKUP(C656,CHECKS!A:I,9,FALSE)</f>
        <v>#7BA3DC</v>
      </c>
      <c r="O656" s="4">
        <f>VLOOKUP(C656,CHECKS!A:I,6,FALSE)</f>
        <v>2.78</v>
      </c>
      <c r="P656" s="4">
        <f>VLOOKUP(C656,CHECKS!A:I,7,FALSE)</f>
        <v>4</v>
      </c>
      <c r="Q656" s="4">
        <f>VLOOKUP(C656,CHECKS!A:I,8,FALSE)</f>
        <v>7</v>
      </c>
      <c r="R656">
        <v>654</v>
      </c>
    </row>
    <row r="657" spans="1:18" x14ac:dyDescent="0.2">
      <c r="A657" s="4">
        <v>6560</v>
      </c>
      <c r="B657" s="2" t="s">
        <v>2507</v>
      </c>
      <c r="C657" s="4" t="s">
        <v>2476</v>
      </c>
      <c r="D657" s="2" t="s">
        <v>2547</v>
      </c>
      <c r="E657" s="2" t="s">
        <v>2593</v>
      </c>
      <c r="F657" s="2" t="s">
        <v>2547</v>
      </c>
      <c r="G657" s="4">
        <f t="shared" si="10"/>
        <v>1</v>
      </c>
      <c r="J657" s="2" t="s">
        <v>2684</v>
      </c>
      <c r="L657" s="7">
        <v>48.793336296200003</v>
      </c>
      <c r="M657" s="7">
        <v>2.3222016336700002</v>
      </c>
      <c r="N657" s="4" t="str">
        <f>VLOOKUP(C657,CHECKS!A:I,9,FALSE)</f>
        <v>#7BA3DC</v>
      </c>
      <c r="O657" s="4">
        <f>VLOOKUP(C657,CHECKS!A:I,6,FALSE)</f>
        <v>2.78</v>
      </c>
      <c r="P657" s="4">
        <f>VLOOKUP(C657,CHECKS!A:I,7,FALSE)</f>
        <v>4</v>
      </c>
      <c r="Q657" s="4">
        <f>VLOOKUP(C657,CHECKS!A:I,8,FALSE)</f>
        <v>7</v>
      </c>
      <c r="R657">
        <v>655</v>
      </c>
    </row>
    <row r="658" spans="1:18" x14ac:dyDescent="0.2">
      <c r="A658" s="4">
        <v>6570</v>
      </c>
      <c r="B658" s="2" t="s">
        <v>2508</v>
      </c>
      <c r="C658" s="4" t="s">
        <v>2476</v>
      </c>
      <c r="D658" s="2" t="s">
        <v>2548</v>
      </c>
      <c r="E658" s="2" t="s">
        <v>2594</v>
      </c>
      <c r="F658" s="2" t="s">
        <v>2548</v>
      </c>
      <c r="G658" s="4">
        <f t="shared" si="10"/>
        <v>1</v>
      </c>
      <c r="J658" s="2" t="s">
        <v>2685</v>
      </c>
      <c r="L658" s="7">
        <v>48.780313796400002</v>
      </c>
      <c r="M658" s="7">
        <v>2.3123077168899999</v>
      </c>
      <c r="N658" s="4" t="str">
        <f>VLOOKUP(C658,CHECKS!A:I,9,FALSE)</f>
        <v>#7BA3DC</v>
      </c>
      <c r="O658" s="4">
        <f>VLOOKUP(C658,CHECKS!A:I,6,FALSE)</f>
        <v>2.78</v>
      </c>
      <c r="P658" s="4">
        <f>VLOOKUP(C658,CHECKS!A:I,7,FALSE)</f>
        <v>4</v>
      </c>
      <c r="Q658" s="4">
        <f>VLOOKUP(C658,CHECKS!A:I,8,FALSE)</f>
        <v>7</v>
      </c>
      <c r="R658">
        <v>656</v>
      </c>
    </row>
    <row r="659" spans="1:18" x14ac:dyDescent="0.2">
      <c r="A659" s="4">
        <v>6580</v>
      </c>
      <c r="B659" s="2" t="s">
        <v>2509</v>
      </c>
      <c r="C659" s="4" t="s">
        <v>2476</v>
      </c>
      <c r="D659" s="2" t="s">
        <v>2549</v>
      </c>
      <c r="E659" s="2" t="s">
        <v>2595</v>
      </c>
      <c r="F659" s="2" t="s">
        <v>2549</v>
      </c>
      <c r="G659" s="4">
        <f t="shared" si="10"/>
        <v>1</v>
      </c>
      <c r="J659" s="2" t="s">
        <v>2686</v>
      </c>
      <c r="L659" s="7">
        <v>48.781356720399998</v>
      </c>
      <c r="M659" s="7">
        <v>2.2976476791699998</v>
      </c>
      <c r="N659" s="4" t="str">
        <f>VLOOKUP(C659,CHECKS!A:I,9,FALSE)</f>
        <v>#7BA3DC</v>
      </c>
      <c r="O659" s="4">
        <f>VLOOKUP(C659,CHECKS!A:I,6,FALSE)</f>
        <v>2.78</v>
      </c>
      <c r="P659" s="4">
        <f>VLOOKUP(C659,CHECKS!A:I,7,FALSE)</f>
        <v>4</v>
      </c>
      <c r="Q659" s="4">
        <f>VLOOKUP(C659,CHECKS!A:I,8,FALSE)</f>
        <v>7</v>
      </c>
      <c r="R659">
        <v>657</v>
      </c>
    </row>
    <row r="660" spans="1:18" x14ac:dyDescent="0.2">
      <c r="A660" s="4">
        <v>6590</v>
      </c>
      <c r="B660" s="2" t="s">
        <v>2510</v>
      </c>
      <c r="C660" s="4" t="s">
        <v>2476</v>
      </c>
      <c r="D660" s="2" t="s">
        <v>2550</v>
      </c>
      <c r="E660" s="2" t="s">
        <v>2596</v>
      </c>
      <c r="F660" s="2" t="s">
        <v>2550</v>
      </c>
      <c r="G660" s="4">
        <f t="shared" si="10"/>
        <v>1</v>
      </c>
      <c r="J660" s="2" t="s">
        <v>2687</v>
      </c>
      <c r="L660" s="7">
        <v>48.787614679999997</v>
      </c>
      <c r="M660" s="7">
        <v>2.2924929805600001</v>
      </c>
      <c r="N660" s="4" t="str">
        <f>VLOOKUP(C660,CHECKS!A:I,9,FALSE)</f>
        <v>#7BA3DC</v>
      </c>
      <c r="O660" s="4">
        <f>VLOOKUP(C660,CHECKS!A:I,6,FALSE)</f>
        <v>2.78</v>
      </c>
      <c r="P660" s="4">
        <f>VLOOKUP(C660,CHECKS!A:I,7,FALSE)</f>
        <v>4</v>
      </c>
      <c r="Q660" s="4">
        <f>VLOOKUP(C660,CHECKS!A:I,8,FALSE)</f>
        <v>7</v>
      </c>
      <c r="R660">
        <v>658</v>
      </c>
    </row>
    <row r="661" spans="1:18" x14ac:dyDescent="0.2">
      <c r="A661" s="4">
        <v>6600</v>
      </c>
      <c r="B661" s="2" t="s">
        <v>2511</v>
      </c>
      <c r="C661" s="4" t="s">
        <v>2476</v>
      </c>
      <c r="D661" s="2" t="s">
        <v>2551</v>
      </c>
      <c r="E661" s="2" t="s">
        <v>2510</v>
      </c>
      <c r="F661" s="2" t="s">
        <v>2551</v>
      </c>
      <c r="G661" s="4">
        <f t="shared" si="10"/>
        <v>1</v>
      </c>
      <c r="J661" s="2" t="s">
        <v>2550</v>
      </c>
      <c r="L661" s="7">
        <v>48.780237298000003</v>
      </c>
      <c r="M661" s="7">
        <v>2.2814305954299998</v>
      </c>
      <c r="N661" s="4" t="str">
        <f>VLOOKUP(C661,CHECKS!A:I,9,FALSE)</f>
        <v>#7BA3DC</v>
      </c>
      <c r="O661" s="4">
        <f>VLOOKUP(C661,CHECKS!A:I,6,FALSE)</f>
        <v>2.78</v>
      </c>
      <c r="P661" s="4">
        <f>VLOOKUP(C661,CHECKS!A:I,7,FALSE)</f>
        <v>4</v>
      </c>
      <c r="Q661" s="4">
        <f>VLOOKUP(C661,CHECKS!A:I,8,FALSE)</f>
        <v>7</v>
      </c>
      <c r="R661">
        <v>659</v>
      </c>
    </row>
    <row r="662" spans="1:18" x14ac:dyDescent="0.2">
      <c r="A662" s="4">
        <v>6610</v>
      </c>
      <c r="B662" s="2" t="s">
        <v>2512</v>
      </c>
      <c r="C662" s="4" t="s">
        <v>2476</v>
      </c>
      <c r="D662" s="2" t="s">
        <v>2552</v>
      </c>
      <c r="E662" s="2" t="s">
        <v>2597</v>
      </c>
      <c r="F662" s="2" t="s">
        <v>2552</v>
      </c>
      <c r="G662" s="4">
        <f t="shared" si="10"/>
        <v>1</v>
      </c>
      <c r="J662" s="2" t="s">
        <v>2688</v>
      </c>
      <c r="L662" s="7">
        <v>48.770721993499997</v>
      </c>
      <c r="M662" s="7">
        <v>2.3102054518799999</v>
      </c>
      <c r="N662" s="4" t="str">
        <f>VLOOKUP(C662,CHECKS!A:I,9,FALSE)</f>
        <v>#7BA3DC</v>
      </c>
      <c r="O662" s="4">
        <f>VLOOKUP(C662,CHECKS!A:I,6,FALSE)</f>
        <v>2.78</v>
      </c>
      <c r="P662" s="4">
        <f>VLOOKUP(C662,CHECKS!A:I,7,FALSE)</f>
        <v>4</v>
      </c>
      <c r="Q662" s="4">
        <f>VLOOKUP(C662,CHECKS!A:I,8,FALSE)</f>
        <v>7</v>
      </c>
      <c r="R662">
        <v>660</v>
      </c>
    </row>
    <row r="663" spans="1:18" x14ac:dyDescent="0.2">
      <c r="A663" s="4">
        <v>6620</v>
      </c>
      <c r="B663" s="2" t="s">
        <v>2513</v>
      </c>
      <c r="C663" s="4" t="s">
        <v>2476</v>
      </c>
      <c r="D663" s="2" t="s">
        <v>2553</v>
      </c>
      <c r="E663" s="2" t="s">
        <v>2598</v>
      </c>
      <c r="F663" s="2" t="s">
        <v>2553</v>
      </c>
      <c r="G663" s="4">
        <f t="shared" si="10"/>
        <v>1</v>
      </c>
      <c r="J663" s="2" t="s">
        <v>2689</v>
      </c>
      <c r="L663" s="7">
        <v>48.761693690400001</v>
      </c>
      <c r="M663" s="7">
        <v>2.3042273461899998</v>
      </c>
      <c r="N663" s="4" t="str">
        <f>VLOOKUP(C663,CHECKS!A:I,9,FALSE)</f>
        <v>#7BA3DC</v>
      </c>
      <c r="O663" s="4">
        <f>VLOOKUP(C663,CHECKS!A:I,6,FALSE)</f>
        <v>2.78</v>
      </c>
      <c r="P663" s="4">
        <f>VLOOKUP(C663,CHECKS!A:I,7,FALSE)</f>
        <v>4</v>
      </c>
      <c r="Q663" s="4">
        <f>VLOOKUP(C663,CHECKS!A:I,8,FALSE)</f>
        <v>7</v>
      </c>
      <c r="R663">
        <v>661</v>
      </c>
    </row>
    <row r="664" spans="1:18" x14ac:dyDescent="0.2">
      <c r="A664" s="4">
        <v>6630</v>
      </c>
      <c r="B664" s="2" t="s">
        <v>2514</v>
      </c>
      <c r="C664" s="4" t="s">
        <v>2476</v>
      </c>
      <c r="D664" s="2" t="s">
        <v>2554</v>
      </c>
      <c r="E664" s="2" t="s">
        <v>2599</v>
      </c>
      <c r="F664" s="2" t="s">
        <v>2554</v>
      </c>
      <c r="G664" s="4">
        <f t="shared" si="10"/>
        <v>1</v>
      </c>
      <c r="J664" s="2" t="s">
        <v>2690</v>
      </c>
      <c r="L664" s="7">
        <v>48.754946526399998</v>
      </c>
      <c r="M664" s="7">
        <v>2.3009868557200002</v>
      </c>
      <c r="N664" s="4" t="str">
        <f>VLOOKUP(C664,CHECKS!A:I,9,FALSE)</f>
        <v>#7BA3DC</v>
      </c>
      <c r="O664" s="4">
        <f>VLOOKUP(C664,CHECKS!A:I,6,FALSE)</f>
        <v>2.78</v>
      </c>
      <c r="P664" s="4">
        <f>VLOOKUP(C664,CHECKS!A:I,7,FALSE)</f>
        <v>4</v>
      </c>
      <c r="Q664" s="4">
        <f>VLOOKUP(C664,CHECKS!A:I,8,FALSE)</f>
        <v>7</v>
      </c>
      <c r="R664">
        <v>662</v>
      </c>
    </row>
    <row r="665" spans="1:18" x14ac:dyDescent="0.2">
      <c r="A665" s="4">
        <v>6640</v>
      </c>
      <c r="B665" s="2" t="s">
        <v>2515</v>
      </c>
      <c r="C665" s="4" t="s">
        <v>2476</v>
      </c>
      <c r="D665" s="2" t="s">
        <v>2555</v>
      </c>
      <c r="E665" s="2" t="s">
        <v>2600</v>
      </c>
      <c r="F665" s="2" t="s">
        <v>2555</v>
      </c>
      <c r="G665" s="4">
        <f t="shared" si="10"/>
        <v>1</v>
      </c>
      <c r="J665" s="2" t="s">
        <v>2691</v>
      </c>
      <c r="L665" s="7">
        <v>48.743373402000003</v>
      </c>
      <c r="M665" s="7">
        <v>2.2963931575399998</v>
      </c>
      <c r="N665" s="4" t="str">
        <f>VLOOKUP(C665,CHECKS!A:I,9,FALSE)</f>
        <v>#7BA3DC</v>
      </c>
      <c r="O665" s="4">
        <f>VLOOKUP(C665,CHECKS!A:I,6,FALSE)</f>
        <v>2.78</v>
      </c>
      <c r="P665" s="4">
        <f>VLOOKUP(C665,CHECKS!A:I,7,FALSE)</f>
        <v>4</v>
      </c>
      <c r="Q665" s="4">
        <f>VLOOKUP(C665,CHECKS!A:I,8,FALSE)</f>
        <v>7</v>
      </c>
      <c r="R665">
        <v>663</v>
      </c>
    </row>
    <row r="666" spans="1:18" x14ac:dyDescent="0.2">
      <c r="A666" s="4">
        <v>6650</v>
      </c>
      <c r="B666" s="2" t="s">
        <v>2516</v>
      </c>
      <c r="C666" s="4" t="s">
        <v>2476</v>
      </c>
      <c r="D666" s="2" t="s">
        <v>2556</v>
      </c>
      <c r="E666" s="2" t="s">
        <v>2601</v>
      </c>
      <c r="F666" s="2" t="s">
        <v>2556</v>
      </c>
      <c r="G666" s="4">
        <f t="shared" si="10"/>
        <v>1</v>
      </c>
      <c r="J666" s="2" t="s">
        <v>2692</v>
      </c>
      <c r="L666" s="7">
        <v>48.739681043399997</v>
      </c>
      <c r="M666" s="7">
        <v>2.28766749545</v>
      </c>
      <c r="N666" s="4" t="str">
        <f>VLOOKUP(C666,CHECKS!A:I,9,FALSE)</f>
        <v>#7BA3DC</v>
      </c>
      <c r="O666" s="4">
        <f>VLOOKUP(C666,CHECKS!A:I,6,FALSE)</f>
        <v>2.78</v>
      </c>
      <c r="P666" s="4">
        <f>VLOOKUP(C666,CHECKS!A:I,7,FALSE)</f>
        <v>4</v>
      </c>
      <c r="Q666" s="4">
        <f>VLOOKUP(C666,CHECKS!A:I,8,FALSE)</f>
        <v>7</v>
      </c>
      <c r="R666">
        <v>664</v>
      </c>
    </row>
    <row r="667" spans="1:18" x14ac:dyDescent="0.2">
      <c r="A667" s="4">
        <v>6660</v>
      </c>
      <c r="B667" s="2" t="s">
        <v>2517</v>
      </c>
      <c r="C667" s="4" t="s">
        <v>2476</v>
      </c>
      <c r="D667" s="2" t="s">
        <v>2557</v>
      </c>
      <c r="E667" s="2" t="s">
        <v>2602</v>
      </c>
      <c r="F667" s="2" t="s">
        <v>2557</v>
      </c>
      <c r="G667" s="4">
        <f t="shared" si="10"/>
        <v>1</v>
      </c>
      <c r="J667" s="2" t="s">
        <v>2693</v>
      </c>
      <c r="L667" s="7">
        <v>48.734716586799998</v>
      </c>
      <c r="M667" s="7">
        <v>2.2734834643999999</v>
      </c>
      <c r="N667" s="4" t="str">
        <f>VLOOKUP(C667,CHECKS!A:I,9,FALSE)</f>
        <v>#7BA3DC</v>
      </c>
      <c r="O667" s="4">
        <f>VLOOKUP(C667,CHECKS!A:I,6,FALSE)</f>
        <v>2.78</v>
      </c>
      <c r="P667" s="4">
        <f>VLOOKUP(C667,CHECKS!A:I,7,FALSE)</f>
        <v>4</v>
      </c>
      <c r="Q667" s="4">
        <f>VLOOKUP(C667,CHECKS!A:I,8,FALSE)</f>
        <v>7</v>
      </c>
      <c r="R667">
        <v>665</v>
      </c>
    </row>
    <row r="668" spans="1:18" x14ac:dyDescent="0.2">
      <c r="A668" s="4">
        <v>6670</v>
      </c>
      <c r="B668" s="2" t="s">
        <v>2518</v>
      </c>
      <c r="C668" s="4" t="s">
        <v>2476</v>
      </c>
      <c r="D668" s="2" t="s">
        <v>2568</v>
      </c>
      <c r="E668" s="2" t="s">
        <v>2603</v>
      </c>
      <c r="F668" s="2" t="s">
        <v>2568</v>
      </c>
      <c r="G668" s="4">
        <f t="shared" si="10"/>
        <v>1</v>
      </c>
      <c r="J668" s="2" t="s">
        <v>2694</v>
      </c>
      <c r="L668" s="7">
        <v>48.724309419199997</v>
      </c>
      <c r="M668" s="7">
        <v>2.25896643431</v>
      </c>
      <c r="N668" s="4" t="str">
        <f>VLOOKUP(C668,CHECKS!A:I,9,FALSE)</f>
        <v>#7BA3DC</v>
      </c>
      <c r="O668" s="4">
        <f>VLOOKUP(C668,CHECKS!A:I,6,FALSE)</f>
        <v>2.78</v>
      </c>
      <c r="P668" s="4">
        <f>VLOOKUP(C668,CHECKS!A:I,7,FALSE)</f>
        <v>4</v>
      </c>
      <c r="Q668" s="4">
        <f>VLOOKUP(C668,CHECKS!A:I,8,FALSE)</f>
        <v>7</v>
      </c>
      <c r="R668">
        <v>666</v>
      </c>
    </row>
    <row r="669" spans="1:18" x14ac:dyDescent="0.2">
      <c r="A669" s="4">
        <v>6680</v>
      </c>
      <c r="B669" s="2" t="s">
        <v>2519</v>
      </c>
      <c r="C669" s="4" t="s">
        <v>2476</v>
      </c>
      <c r="D669" s="2" t="s">
        <v>2558</v>
      </c>
      <c r="E669" s="2" t="s">
        <v>2604</v>
      </c>
      <c r="F669" s="2" t="s">
        <v>2558</v>
      </c>
      <c r="G669" s="4">
        <f t="shared" si="10"/>
        <v>1</v>
      </c>
      <c r="J669" s="2" t="s">
        <v>2695</v>
      </c>
      <c r="L669" s="7">
        <v>48.716946287600003</v>
      </c>
      <c r="M669" s="7">
        <v>2.2456725145799998</v>
      </c>
      <c r="N669" s="4" t="str">
        <f>VLOOKUP(C669,CHECKS!A:I,9,FALSE)</f>
        <v>#7BA3DC</v>
      </c>
      <c r="O669" s="4">
        <f>VLOOKUP(C669,CHECKS!A:I,6,FALSE)</f>
        <v>2.78</v>
      </c>
      <c r="P669" s="4">
        <f>VLOOKUP(C669,CHECKS!A:I,7,FALSE)</f>
        <v>4</v>
      </c>
      <c r="Q669" s="4">
        <f>VLOOKUP(C669,CHECKS!A:I,8,FALSE)</f>
        <v>7</v>
      </c>
      <c r="R669">
        <v>667</v>
      </c>
    </row>
    <row r="670" spans="1:18" x14ac:dyDescent="0.2">
      <c r="A670" s="4">
        <v>6690</v>
      </c>
      <c r="B670" s="2" t="s">
        <v>2520</v>
      </c>
      <c r="C670" s="4" t="s">
        <v>2476</v>
      </c>
      <c r="D670" s="2" t="s">
        <v>2559</v>
      </c>
      <c r="E670" s="2" t="s">
        <v>2605</v>
      </c>
      <c r="F670" s="2" t="s">
        <v>2559</v>
      </c>
      <c r="G670" s="4">
        <f t="shared" si="10"/>
        <v>1</v>
      </c>
      <c r="J670" s="2" t="s">
        <v>2696</v>
      </c>
      <c r="L670" s="7">
        <v>48.708140583599999</v>
      </c>
      <c r="M670" s="7">
        <v>2.23731436464</v>
      </c>
      <c r="N670" s="4" t="str">
        <f>VLOOKUP(C670,CHECKS!A:I,9,FALSE)</f>
        <v>#7BA3DC</v>
      </c>
      <c r="O670" s="4">
        <f>VLOOKUP(C670,CHECKS!A:I,6,FALSE)</f>
        <v>2.78</v>
      </c>
      <c r="P670" s="4">
        <f>VLOOKUP(C670,CHECKS!A:I,7,FALSE)</f>
        <v>4</v>
      </c>
      <c r="Q670" s="4">
        <f>VLOOKUP(C670,CHECKS!A:I,8,FALSE)</f>
        <v>7</v>
      </c>
      <c r="R670">
        <v>668</v>
      </c>
    </row>
    <row r="671" spans="1:18" x14ac:dyDescent="0.2">
      <c r="A671" s="4">
        <v>6700</v>
      </c>
      <c r="B671" s="2" t="s">
        <v>2521</v>
      </c>
      <c r="C671" s="4" t="s">
        <v>2476</v>
      </c>
      <c r="D671" s="2" t="s">
        <v>2560</v>
      </c>
      <c r="E671" s="2" t="s">
        <v>2606</v>
      </c>
      <c r="F671" s="2" t="s">
        <v>2560</v>
      </c>
      <c r="G671" s="4">
        <f t="shared" si="10"/>
        <v>1</v>
      </c>
      <c r="J671" s="2" t="s">
        <v>2697</v>
      </c>
      <c r="L671" s="7">
        <v>48.705968984800002</v>
      </c>
      <c r="M671" s="7">
        <v>2.2122623780200001</v>
      </c>
      <c r="N671" s="4" t="str">
        <f>VLOOKUP(C671,CHECKS!A:I,9,FALSE)</f>
        <v>#7BA3DC</v>
      </c>
      <c r="O671" s="4">
        <f>VLOOKUP(C671,CHECKS!A:I,6,FALSE)</f>
        <v>2.78</v>
      </c>
      <c r="P671" s="4">
        <f>VLOOKUP(C671,CHECKS!A:I,7,FALSE)</f>
        <v>4</v>
      </c>
      <c r="Q671" s="4">
        <f>VLOOKUP(C671,CHECKS!A:I,8,FALSE)</f>
        <v>7</v>
      </c>
      <c r="R671">
        <v>669</v>
      </c>
    </row>
    <row r="672" spans="1:18" x14ac:dyDescent="0.2">
      <c r="A672" s="4">
        <v>6710</v>
      </c>
      <c r="B672" s="2" t="s">
        <v>2522</v>
      </c>
      <c r="C672" s="4" t="s">
        <v>2476</v>
      </c>
      <c r="D672" s="2" t="s">
        <v>2561</v>
      </c>
      <c r="E672" s="2" t="s">
        <v>2607</v>
      </c>
      <c r="F672" s="2" t="s">
        <v>2561</v>
      </c>
      <c r="G672" s="4">
        <f t="shared" si="10"/>
        <v>1</v>
      </c>
      <c r="J672" s="2" t="s">
        <v>2698</v>
      </c>
      <c r="L672" s="7">
        <v>48.705403924800002</v>
      </c>
      <c r="M672" s="7">
        <v>2.1927348848100001</v>
      </c>
      <c r="N672" s="4" t="str">
        <f>VLOOKUP(C672,CHECKS!A:I,9,FALSE)</f>
        <v>#7BA3DC</v>
      </c>
      <c r="O672" s="4">
        <f>VLOOKUP(C672,CHECKS!A:I,6,FALSE)</f>
        <v>2.78</v>
      </c>
      <c r="P672" s="4">
        <f>VLOOKUP(C672,CHECKS!A:I,7,FALSE)</f>
        <v>4</v>
      </c>
      <c r="Q672" s="4">
        <f>VLOOKUP(C672,CHECKS!A:I,8,FALSE)</f>
        <v>7</v>
      </c>
      <c r="R672">
        <v>670</v>
      </c>
    </row>
    <row r="673" spans="1:18" x14ac:dyDescent="0.2">
      <c r="A673" s="4">
        <v>6720</v>
      </c>
      <c r="B673" s="2" t="s">
        <v>2523</v>
      </c>
      <c r="C673" s="4" t="s">
        <v>2476</v>
      </c>
      <c r="D673" s="2" t="s">
        <v>2562</v>
      </c>
      <c r="E673" s="2" t="s">
        <v>2608</v>
      </c>
      <c r="F673" s="2" t="s">
        <v>2562</v>
      </c>
      <c r="G673" s="4">
        <f t="shared" si="10"/>
        <v>1</v>
      </c>
      <c r="J673" s="2" t="s">
        <v>2699</v>
      </c>
      <c r="L673" s="7">
        <v>48.697505669900004</v>
      </c>
      <c r="M673" s="7">
        <v>2.1810544376999998</v>
      </c>
      <c r="N673" s="4" t="str">
        <f>VLOOKUP(C673,CHECKS!A:I,9,FALSE)</f>
        <v>#7BA3DC</v>
      </c>
      <c r="O673" s="4">
        <f>VLOOKUP(C673,CHECKS!A:I,6,FALSE)</f>
        <v>2.78</v>
      </c>
      <c r="P673" s="4">
        <f>VLOOKUP(C673,CHECKS!A:I,7,FALSE)</f>
        <v>4</v>
      </c>
      <c r="Q673" s="4">
        <f>VLOOKUP(C673,CHECKS!A:I,8,FALSE)</f>
        <v>7</v>
      </c>
      <c r="R673">
        <v>671</v>
      </c>
    </row>
    <row r="674" spans="1:18" x14ac:dyDescent="0.2">
      <c r="A674" s="4">
        <v>6730</v>
      </c>
      <c r="B674" s="2" t="s">
        <v>2524</v>
      </c>
      <c r="C674" s="4" t="s">
        <v>2476</v>
      </c>
      <c r="D674" s="2" t="s">
        <v>2563</v>
      </c>
      <c r="E674" s="2" t="s">
        <v>2609</v>
      </c>
      <c r="F674" s="2" t="s">
        <v>2563</v>
      </c>
      <c r="G674" s="4">
        <f t="shared" si="10"/>
        <v>1</v>
      </c>
      <c r="J674" s="2" t="s">
        <v>2700</v>
      </c>
      <c r="L674" s="7">
        <v>48.696252746900001</v>
      </c>
      <c r="M674" s="7">
        <v>2.1643782427899998</v>
      </c>
      <c r="N674" s="4" t="str">
        <f>VLOOKUP(C674,CHECKS!A:I,9,FALSE)</f>
        <v>#7BA3DC</v>
      </c>
      <c r="O674" s="4">
        <f>VLOOKUP(C674,CHECKS!A:I,6,FALSE)</f>
        <v>2.78</v>
      </c>
      <c r="P674" s="4">
        <f>VLOOKUP(C674,CHECKS!A:I,7,FALSE)</f>
        <v>4</v>
      </c>
      <c r="Q674" s="4">
        <f>VLOOKUP(C674,CHECKS!A:I,8,FALSE)</f>
        <v>7</v>
      </c>
      <c r="R674">
        <v>672</v>
      </c>
    </row>
    <row r="675" spans="1:18" x14ac:dyDescent="0.2">
      <c r="A675" s="4">
        <v>6740</v>
      </c>
      <c r="B675" s="2" t="s">
        <v>2525</v>
      </c>
      <c r="C675" s="4" t="s">
        <v>2476</v>
      </c>
      <c r="D675" s="2" t="s">
        <v>2564</v>
      </c>
      <c r="E675" s="2" t="s">
        <v>2610</v>
      </c>
      <c r="F675" s="2" t="s">
        <v>2564</v>
      </c>
      <c r="G675" s="4">
        <f t="shared" si="10"/>
        <v>1</v>
      </c>
      <c r="J675" s="2" t="s">
        <v>2701</v>
      </c>
      <c r="L675" s="7">
        <v>48.695264122099999</v>
      </c>
      <c r="M675" s="7">
        <v>2.1516420386199999</v>
      </c>
      <c r="N675" s="4" t="str">
        <f>VLOOKUP(C675,CHECKS!A:I,9,FALSE)</f>
        <v>#7BA3DC</v>
      </c>
      <c r="O675" s="4">
        <f>VLOOKUP(C675,CHECKS!A:I,6,FALSE)</f>
        <v>2.78</v>
      </c>
      <c r="P675" s="4">
        <f>VLOOKUP(C675,CHECKS!A:I,7,FALSE)</f>
        <v>4</v>
      </c>
      <c r="Q675" s="4">
        <f>VLOOKUP(C675,CHECKS!A:I,8,FALSE)</f>
        <v>7</v>
      </c>
      <c r="R675">
        <v>673</v>
      </c>
    </row>
    <row r="676" spans="1:18" x14ac:dyDescent="0.2">
      <c r="A676" s="4">
        <v>6750</v>
      </c>
      <c r="B676" s="2" t="s">
        <v>2526</v>
      </c>
      <c r="C676" s="4" t="s">
        <v>2476</v>
      </c>
      <c r="D676" s="2" t="s">
        <v>2565</v>
      </c>
      <c r="E676" s="2" t="s">
        <v>2611</v>
      </c>
      <c r="F676" s="2" t="s">
        <v>2565</v>
      </c>
      <c r="G676" s="4">
        <f t="shared" si="10"/>
        <v>1</v>
      </c>
      <c r="J676" s="2" t="s">
        <v>2702</v>
      </c>
      <c r="L676" s="7">
        <v>48.698196976299997</v>
      </c>
      <c r="M676" s="7">
        <v>2.13656671706</v>
      </c>
      <c r="N676" s="4" t="str">
        <f>VLOOKUP(C676,CHECKS!A:I,9,FALSE)</f>
        <v>#7BA3DC</v>
      </c>
      <c r="O676" s="4">
        <f>VLOOKUP(C676,CHECKS!A:I,6,FALSE)</f>
        <v>2.78</v>
      </c>
      <c r="P676" s="4">
        <f>VLOOKUP(C676,CHECKS!A:I,7,FALSE)</f>
        <v>4</v>
      </c>
      <c r="Q676" s="4">
        <f>VLOOKUP(C676,CHECKS!A:I,8,FALSE)</f>
        <v>7</v>
      </c>
      <c r="R676">
        <v>674</v>
      </c>
    </row>
    <row r="677" spans="1:18" x14ac:dyDescent="0.2">
      <c r="A677" s="4">
        <v>6760</v>
      </c>
      <c r="B677" s="2" t="s">
        <v>2527</v>
      </c>
      <c r="C677" s="4" t="s">
        <v>2476</v>
      </c>
      <c r="D677" s="2" t="s">
        <v>2566</v>
      </c>
      <c r="E677" s="2" t="s">
        <v>2612</v>
      </c>
      <c r="F677" s="2" t="s">
        <v>2566</v>
      </c>
      <c r="G677" s="4">
        <f t="shared" si="10"/>
        <v>1</v>
      </c>
      <c r="J677" s="2" t="s">
        <v>2703</v>
      </c>
      <c r="L677" s="7">
        <v>48.701217721200003</v>
      </c>
      <c r="M677" s="7">
        <v>2.0979758556900001</v>
      </c>
      <c r="N677" s="4" t="str">
        <f>VLOOKUP(C677,CHECKS!A:I,9,FALSE)</f>
        <v>#7BA3DC</v>
      </c>
      <c r="O677" s="4">
        <f>VLOOKUP(C677,CHECKS!A:I,6,FALSE)</f>
        <v>2.78</v>
      </c>
      <c r="P677" s="4">
        <f>VLOOKUP(C677,CHECKS!A:I,7,FALSE)</f>
        <v>4</v>
      </c>
      <c r="Q677" s="4">
        <f>VLOOKUP(C677,CHECKS!A:I,8,FALSE)</f>
        <v>7</v>
      </c>
      <c r="R677">
        <v>675</v>
      </c>
    </row>
    <row r="678" spans="1:18" x14ac:dyDescent="0.2">
      <c r="A678" s="4">
        <v>6770</v>
      </c>
      <c r="B678" s="2" t="s">
        <v>2528</v>
      </c>
      <c r="C678" s="4" t="s">
        <v>2476</v>
      </c>
      <c r="D678" s="2" t="s">
        <v>2567</v>
      </c>
      <c r="E678" s="2" t="s">
        <v>2527</v>
      </c>
      <c r="F678" s="2" t="s">
        <v>2567</v>
      </c>
      <c r="G678" s="4">
        <f t="shared" si="10"/>
        <v>1</v>
      </c>
      <c r="J678" s="2" t="s">
        <v>2566</v>
      </c>
      <c r="L678" s="7">
        <v>48.702751042999999</v>
      </c>
      <c r="M678" s="7">
        <v>2.0712428490199999</v>
      </c>
      <c r="N678" s="4" t="str">
        <f>VLOOKUP(C678,CHECKS!A:I,9,FALSE)</f>
        <v>#7BA3DC</v>
      </c>
      <c r="O678" s="4">
        <f>VLOOKUP(C678,CHECKS!A:I,6,FALSE)</f>
        <v>2.78</v>
      </c>
      <c r="P678" s="4">
        <f>VLOOKUP(C678,CHECKS!A:I,7,FALSE)</f>
        <v>4</v>
      </c>
      <c r="Q678" s="4">
        <f>VLOOKUP(C678,CHECKS!A:I,8,FALSE)</f>
        <v>7</v>
      </c>
      <c r="R678">
        <v>676</v>
      </c>
    </row>
  </sheetData>
  <autoFilter ref="A1:R1">
    <sortState ref="A2:R678">
      <sortCondition ref="A1"/>
    </sortState>
  </autoFilter>
  <sortState ref="A2:R678">
    <sortCondition ref="C2:C678"/>
    <sortCondition ref="D2:D67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78"/>
  <sheetViews>
    <sheetView tabSelected="1" workbookViewId="0">
      <selection activeCell="B7" sqref="B7"/>
    </sheetView>
  </sheetViews>
  <sheetFormatPr baseColWidth="10" defaultRowHeight="12.75" x14ac:dyDescent="0.2"/>
  <cols>
    <col min="1" max="1" width="6.28515625" bestFit="1" customWidth="1"/>
    <col min="2" max="2" width="35.85546875" bestFit="1" customWidth="1"/>
    <col min="3" max="3" width="6.5703125" bestFit="1" customWidth="1"/>
    <col min="4" max="4" width="33.5703125" bestFit="1" customWidth="1"/>
    <col min="5" max="6" width="12" bestFit="1" customWidth="1"/>
  </cols>
  <sheetData>
    <row r="1" spans="1:6" x14ac:dyDescent="0.2">
      <c r="A1" t="s">
        <v>3280</v>
      </c>
      <c r="B1" t="s">
        <v>0</v>
      </c>
      <c r="C1" t="s">
        <v>2</v>
      </c>
      <c r="D1" t="s">
        <v>3</v>
      </c>
      <c r="E1" t="s">
        <v>1370</v>
      </c>
      <c r="F1" t="s">
        <v>1371</v>
      </c>
    </row>
    <row r="2" spans="1:6" x14ac:dyDescent="0.2">
      <c r="A2">
        <v>10</v>
      </c>
      <c r="B2" t="s">
        <v>30</v>
      </c>
      <c r="C2" t="s">
        <v>91</v>
      </c>
      <c r="D2" t="s">
        <v>8</v>
      </c>
      <c r="E2">
        <v>48.892187076399999</v>
      </c>
      <c r="F2">
        <v>2.2370180564000002</v>
      </c>
    </row>
    <row r="3" spans="1:6" x14ac:dyDescent="0.2">
      <c r="A3">
        <v>20</v>
      </c>
      <c r="B3" t="s">
        <v>31</v>
      </c>
      <c r="C3" t="s">
        <v>91</v>
      </c>
      <c r="D3" t="s">
        <v>9</v>
      </c>
      <c r="E3">
        <v>48.888631217799997</v>
      </c>
      <c r="F3">
        <v>2.2479324353200001</v>
      </c>
    </row>
    <row r="4" spans="1:6" x14ac:dyDescent="0.2">
      <c r="A4">
        <v>30</v>
      </c>
      <c r="B4" t="s">
        <v>32</v>
      </c>
      <c r="C4" t="s">
        <v>91</v>
      </c>
      <c r="D4" t="s">
        <v>10</v>
      </c>
      <c r="E4">
        <v>48.8847082013</v>
      </c>
      <c r="F4">
        <v>2.2605150778900001</v>
      </c>
    </row>
    <row r="5" spans="1:6" x14ac:dyDescent="0.2">
      <c r="A5">
        <v>40</v>
      </c>
      <c r="B5" t="s">
        <v>33</v>
      </c>
      <c r="C5" t="s">
        <v>91</v>
      </c>
      <c r="D5" t="s">
        <v>11</v>
      </c>
      <c r="E5">
        <v>48.881191520599998</v>
      </c>
      <c r="F5">
        <v>2.27168672105</v>
      </c>
    </row>
    <row r="6" spans="1:6" x14ac:dyDescent="0.2">
      <c r="A6">
        <v>50</v>
      </c>
      <c r="B6" t="s">
        <v>34</v>
      </c>
      <c r="C6" t="s">
        <v>91</v>
      </c>
      <c r="D6" t="s">
        <v>12</v>
      </c>
      <c r="E6">
        <v>48.8775512518</v>
      </c>
      <c r="F6">
        <v>2.28316224223</v>
      </c>
    </row>
    <row r="7" spans="1:6" x14ac:dyDescent="0.2">
      <c r="A7">
        <v>60</v>
      </c>
      <c r="B7" t="s">
        <v>35</v>
      </c>
      <c r="C7" t="s">
        <v>91</v>
      </c>
      <c r="D7" t="s">
        <v>13</v>
      </c>
      <c r="E7">
        <v>48.875594049900002</v>
      </c>
      <c r="F7">
        <v>2.2893225896099998</v>
      </c>
    </row>
    <row r="8" spans="1:6" x14ac:dyDescent="0.2">
      <c r="A8">
        <v>70</v>
      </c>
      <c r="B8" t="s">
        <v>36</v>
      </c>
      <c r="C8" t="s">
        <v>91</v>
      </c>
      <c r="D8" t="s">
        <v>96</v>
      </c>
      <c r="E8">
        <v>48.875149819699999</v>
      </c>
      <c r="F8">
        <v>2.2959049060800001</v>
      </c>
    </row>
    <row r="9" spans="1:6" x14ac:dyDescent="0.2">
      <c r="A9">
        <v>80</v>
      </c>
      <c r="B9" t="s">
        <v>37</v>
      </c>
      <c r="C9" t="s">
        <v>91</v>
      </c>
      <c r="D9" t="s">
        <v>15</v>
      </c>
      <c r="E9">
        <v>48.8720238095</v>
      </c>
      <c r="F9">
        <v>2.30056045125</v>
      </c>
    </row>
    <row r="10" spans="1:6" x14ac:dyDescent="0.2">
      <c r="A10">
        <v>90</v>
      </c>
      <c r="B10" t="s">
        <v>38</v>
      </c>
      <c r="C10" t="s">
        <v>91</v>
      </c>
      <c r="D10" t="s">
        <v>16</v>
      </c>
      <c r="E10">
        <v>48.869808220199999</v>
      </c>
      <c r="F10">
        <v>2.3074707934499998</v>
      </c>
    </row>
    <row r="11" spans="1:6" x14ac:dyDescent="0.2">
      <c r="A11">
        <v>100</v>
      </c>
      <c r="B11" t="s">
        <v>39</v>
      </c>
      <c r="C11" t="s">
        <v>91</v>
      </c>
      <c r="D11" t="s">
        <v>95</v>
      </c>
      <c r="E11">
        <v>48.867905344900002</v>
      </c>
      <c r="F11">
        <v>2.3135455499500002</v>
      </c>
    </row>
    <row r="12" spans="1:6" x14ac:dyDescent="0.2">
      <c r="A12">
        <v>110</v>
      </c>
      <c r="B12" t="s">
        <v>40</v>
      </c>
      <c r="C12" t="s">
        <v>91</v>
      </c>
      <c r="D12" t="s">
        <v>17</v>
      </c>
      <c r="E12">
        <v>48.866285804599997</v>
      </c>
      <c r="F12">
        <v>2.3229434122399999</v>
      </c>
    </row>
    <row r="13" spans="1:6" x14ac:dyDescent="0.2">
      <c r="A13">
        <v>120</v>
      </c>
      <c r="B13" t="s">
        <v>41</v>
      </c>
      <c r="C13" t="s">
        <v>91</v>
      </c>
      <c r="D13" t="s">
        <v>18</v>
      </c>
      <c r="E13">
        <v>48.864343778699997</v>
      </c>
      <c r="F13">
        <v>2.3301298771100001</v>
      </c>
    </row>
    <row r="14" spans="1:6" x14ac:dyDescent="0.2">
      <c r="A14">
        <v>130</v>
      </c>
      <c r="B14" t="s">
        <v>42</v>
      </c>
      <c r="C14" t="s">
        <v>91</v>
      </c>
      <c r="D14" t="s">
        <v>97</v>
      </c>
      <c r="E14">
        <v>48.8623480308</v>
      </c>
      <c r="F14">
        <v>2.33649646231</v>
      </c>
    </row>
    <row r="15" spans="1:6" x14ac:dyDescent="0.2">
      <c r="A15">
        <v>140</v>
      </c>
      <c r="B15" t="s">
        <v>43</v>
      </c>
      <c r="C15" t="s">
        <v>91</v>
      </c>
      <c r="D15" t="s">
        <v>103</v>
      </c>
      <c r="E15">
        <v>48.860806291300001</v>
      </c>
      <c r="F15">
        <v>2.3411085916299998</v>
      </c>
    </row>
    <row r="16" spans="1:6" x14ac:dyDescent="0.2">
      <c r="A16">
        <v>150</v>
      </c>
      <c r="B16" t="s">
        <v>44</v>
      </c>
      <c r="C16" t="s">
        <v>91</v>
      </c>
      <c r="D16" t="s">
        <v>20</v>
      </c>
      <c r="E16">
        <v>48.858799198100002</v>
      </c>
      <c r="F16">
        <v>2.3473058527499999</v>
      </c>
    </row>
    <row r="17" spans="1:6" x14ac:dyDescent="0.2">
      <c r="A17">
        <v>160</v>
      </c>
      <c r="B17" t="s">
        <v>45</v>
      </c>
      <c r="C17" t="s">
        <v>91</v>
      </c>
      <c r="D17" t="s">
        <v>21</v>
      </c>
      <c r="E17">
        <v>48.857477982500001</v>
      </c>
      <c r="F17">
        <v>2.3515775629900002</v>
      </c>
    </row>
    <row r="18" spans="1:6" x14ac:dyDescent="0.2">
      <c r="A18">
        <v>170</v>
      </c>
      <c r="B18" t="s">
        <v>46</v>
      </c>
      <c r="C18" t="s">
        <v>91</v>
      </c>
      <c r="D18" t="s">
        <v>22</v>
      </c>
      <c r="E18">
        <v>48.855236252799997</v>
      </c>
      <c r="F18">
        <v>2.3609564886599999</v>
      </c>
    </row>
    <row r="19" spans="1:6" x14ac:dyDescent="0.2">
      <c r="A19">
        <v>180</v>
      </c>
      <c r="B19" t="s">
        <v>47</v>
      </c>
      <c r="C19" t="s">
        <v>91</v>
      </c>
      <c r="D19" t="s">
        <v>23</v>
      </c>
      <c r="E19">
        <v>48.852479422800002</v>
      </c>
      <c r="F19">
        <v>2.3693205849300001</v>
      </c>
    </row>
    <row r="20" spans="1:6" x14ac:dyDescent="0.2">
      <c r="A20">
        <v>190</v>
      </c>
      <c r="B20" t="s">
        <v>48</v>
      </c>
      <c r="C20" t="s">
        <v>91</v>
      </c>
      <c r="D20" t="s">
        <v>24</v>
      </c>
      <c r="E20">
        <v>48.8460276494</v>
      </c>
      <c r="F20">
        <v>2.3749629188700001</v>
      </c>
    </row>
    <row r="21" spans="1:6" x14ac:dyDescent="0.2">
      <c r="A21">
        <v>200</v>
      </c>
      <c r="B21" t="s">
        <v>49</v>
      </c>
      <c r="C21" t="s">
        <v>91</v>
      </c>
      <c r="D21" t="s">
        <v>98</v>
      </c>
      <c r="E21">
        <v>48.847303786099999</v>
      </c>
      <c r="F21">
        <v>2.3863417063500001</v>
      </c>
    </row>
    <row r="22" spans="1:6" x14ac:dyDescent="0.2">
      <c r="A22">
        <v>210</v>
      </c>
      <c r="B22" t="s">
        <v>50</v>
      </c>
      <c r="C22" t="s">
        <v>91</v>
      </c>
      <c r="D22" t="s">
        <v>25</v>
      </c>
      <c r="E22">
        <v>48.847579367500003</v>
      </c>
      <c r="F22">
        <v>2.3955545121699999</v>
      </c>
    </row>
    <row r="23" spans="1:6" x14ac:dyDescent="0.2">
      <c r="A23">
        <v>220</v>
      </c>
      <c r="B23" t="s">
        <v>51</v>
      </c>
      <c r="C23" t="s">
        <v>91</v>
      </c>
      <c r="D23" t="s">
        <v>26</v>
      </c>
      <c r="E23">
        <v>48.847158479400001</v>
      </c>
      <c r="F23">
        <v>2.41014036797</v>
      </c>
    </row>
    <row r="24" spans="1:6" x14ac:dyDescent="0.2">
      <c r="A24">
        <v>230</v>
      </c>
      <c r="B24" t="s">
        <v>52</v>
      </c>
      <c r="C24" t="s">
        <v>91</v>
      </c>
      <c r="D24" t="s">
        <v>27</v>
      </c>
      <c r="E24">
        <v>48.846356988899998</v>
      </c>
      <c r="F24">
        <v>2.4194799003699998</v>
      </c>
    </row>
    <row r="25" spans="1:6" x14ac:dyDescent="0.2">
      <c r="A25">
        <v>240</v>
      </c>
      <c r="B25" t="s">
        <v>53</v>
      </c>
      <c r="C25" t="s">
        <v>91</v>
      </c>
      <c r="D25" t="s">
        <v>28</v>
      </c>
      <c r="E25">
        <v>48.845470707600001</v>
      </c>
      <c r="F25">
        <v>2.4292051663500001</v>
      </c>
    </row>
    <row r="26" spans="1:6" x14ac:dyDescent="0.2">
      <c r="A26">
        <v>250</v>
      </c>
      <c r="B26" t="s">
        <v>54</v>
      </c>
      <c r="C26" t="s">
        <v>91</v>
      </c>
      <c r="D26" t="s">
        <v>29</v>
      </c>
      <c r="E26">
        <v>48.844456394600002</v>
      </c>
      <c r="F26">
        <v>2.4404399780600001</v>
      </c>
    </row>
    <row r="27" spans="1:6" x14ac:dyDescent="0.2">
      <c r="A27">
        <v>260</v>
      </c>
      <c r="B27" t="s">
        <v>131</v>
      </c>
      <c r="C27" t="s">
        <v>92</v>
      </c>
      <c r="D27" t="s">
        <v>108</v>
      </c>
      <c r="E27">
        <v>48.871466578099998</v>
      </c>
      <c r="F27">
        <v>2.2770830170499998</v>
      </c>
    </row>
    <row r="28" spans="1:6" x14ac:dyDescent="0.2">
      <c r="A28">
        <v>270</v>
      </c>
      <c r="B28" t="s">
        <v>132</v>
      </c>
      <c r="C28" t="s">
        <v>92</v>
      </c>
      <c r="D28" t="s">
        <v>109</v>
      </c>
      <c r="E28">
        <v>48.869798556500001</v>
      </c>
      <c r="F28">
        <v>2.2853350946900002</v>
      </c>
    </row>
    <row r="29" spans="1:6" x14ac:dyDescent="0.2">
      <c r="A29">
        <v>280</v>
      </c>
      <c r="B29" t="s">
        <v>133</v>
      </c>
      <c r="C29" t="s">
        <v>92</v>
      </c>
      <c r="D29" t="s">
        <v>96</v>
      </c>
      <c r="E29">
        <v>48.874613926999999</v>
      </c>
      <c r="F29">
        <v>2.2955673697500001</v>
      </c>
    </row>
    <row r="30" spans="1:6" x14ac:dyDescent="0.2">
      <c r="A30">
        <v>290</v>
      </c>
      <c r="B30" t="s">
        <v>134</v>
      </c>
      <c r="C30" t="s">
        <v>92</v>
      </c>
      <c r="D30" t="s">
        <v>110</v>
      </c>
      <c r="E30">
        <v>48.877972701399997</v>
      </c>
      <c r="F30">
        <v>2.2983103751199998</v>
      </c>
    </row>
    <row r="31" spans="1:6" x14ac:dyDescent="0.2">
      <c r="A31">
        <v>300</v>
      </c>
      <c r="B31" t="s">
        <v>135</v>
      </c>
      <c r="C31" t="s">
        <v>92</v>
      </c>
      <c r="D31" t="s">
        <v>111</v>
      </c>
      <c r="E31">
        <v>48.879214134199998</v>
      </c>
      <c r="F31">
        <v>2.3035287253700001</v>
      </c>
    </row>
    <row r="32" spans="1:6" x14ac:dyDescent="0.2">
      <c r="A32">
        <v>310</v>
      </c>
      <c r="B32" t="s">
        <v>136</v>
      </c>
      <c r="C32" t="s">
        <v>92</v>
      </c>
      <c r="D32" t="s">
        <v>112</v>
      </c>
      <c r="E32">
        <v>48.880449456100003</v>
      </c>
      <c r="F32">
        <v>2.3094511679899998</v>
      </c>
    </row>
    <row r="33" spans="1:6" x14ac:dyDescent="0.2">
      <c r="A33">
        <v>320</v>
      </c>
      <c r="B33" t="s">
        <v>137</v>
      </c>
      <c r="C33" t="s">
        <v>92</v>
      </c>
      <c r="D33" t="s">
        <v>113</v>
      </c>
      <c r="E33">
        <v>48.881150028500002</v>
      </c>
      <c r="F33">
        <v>2.31517662622</v>
      </c>
    </row>
    <row r="34" spans="1:6" x14ac:dyDescent="0.2">
      <c r="A34">
        <v>330</v>
      </c>
      <c r="B34" t="s">
        <v>138</v>
      </c>
      <c r="C34" t="s">
        <v>92</v>
      </c>
      <c r="D34" t="s">
        <v>114</v>
      </c>
      <c r="E34">
        <v>48.882226900799999</v>
      </c>
      <c r="F34">
        <v>2.3212749267700001</v>
      </c>
    </row>
    <row r="35" spans="1:6" x14ac:dyDescent="0.2">
      <c r="A35">
        <v>340</v>
      </c>
      <c r="B35" t="s">
        <v>139</v>
      </c>
      <c r="C35" t="s">
        <v>92</v>
      </c>
      <c r="D35" t="s">
        <v>115</v>
      </c>
      <c r="E35">
        <v>48.883614992200002</v>
      </c>
      <c r="F35">
        <v>2.3278395561099998</v>
      </c>
    </row>
    <row r="36" spans="1:6" x14ac:dyDescent="0.2">
      <c r="A36">
        <v>350</v>
      </c>
      <c r="B36" t="s">
        <v>140</v>
      </c>
      <c r="C36" t="s">
        <v>92</v>
      </c>
      <c r="D36" t="s">
        <v>116</v>
      </c>
      <c r="E36">
        <v>48.883958573500003</v>
      </c>
      <c r="F36">
        <v>2.3319265908900002</v>
      </c>
    </row>
    <row r="37" spans="1:6" x14ac:dyDescent="0.2">
      <c r="A37">
        <v>360</v>
      </c>
      <c r="B37" t="s">
        <v>141</v>
      </c>
      <c r="C37" t="s">
        <v>92</v>
      </c>
      <c r="D37" t="s">
        <v>117</v>
      </c>
      <c r="E37">
        <v>48.882390150699997</v>
      </c>
      <c r="F37">
        <v>2.3372947905700001</v>
      </c>
    </row>
    <row r="38" spans="1:6" x14ac:dyDescent="0.2">
      <c r="A38">
        <v>370</v>
      </c>
      <c r="B38" t="s">
        <v>142</v>
      </c>
      <c r="C38" t="s">
        <v>92</v>
      </c>
      <c r="D38" t="s">
        <v>118</v>
      </c>
      <c r="E38">
        <v>48.882868647599999</v>
      </c>
      <c r="F38">
        <v>2.3441306337199999</v>
      </c>
    </row>
    <row r="39" spans="1:6" x14ac:dyDescent="0.2">
      <c r="A39">
        <v>380</v>
      </c>
      <c r="B39" t="s">
        <v>143</v>
      </c>
      <c r="C39" t="s">
        <v>92</v>
      </c>
      <c r="D39" t="s">
        <v>119</v>
      </c>
      <c r="E39">
        <v>48.8838039424</v>
      </c>
      <c r="F39">
        <v>2.3506130006900001</v>
      </c>
    </row>
    <row r="40" spans="1:6" x14ac:dyDescent="0.2">
      <c r="A40">
        <v>390</v>
      </c>
      <c r="B40" t="s">
        <v>144</v>
      </c>
      <c r="C40" t="s">
        <v>92</v>
      </c>
      <c r="D40" t="s">
        <v>120</v>
      </c>
      <c r="E40">
        <v>48.884398795199999</v>
      </c>
      <c r="F40">
        <v>2.3604913185299998</v>
      </c>
    </row>
    <row r="41" spans="1:6" x14ac:dyDescent="0.2">
      <c r="A41">
        <v>400</v>
      </c>
      <c r="B41" t="s">
        <v>145</v>
      </c>
      <c r="C41" t="s">
        <v>92</v>
      </c>
      <c r="D41" t="s">
        <v>121</v>
      </c>
      <c r="E41">
        <v>48.8842789443</v>
      </c>
      <c r="F41">
        <v>2.3658813581699998</v>
      </c>
    </row>
    <row r="42" spans="1:6" x14ac:dyDescent="0.2">
      <c r="A42">
        <v>410</v>
      </c>
      <c r="B42" t="s">
        <v>146</v>
      </c>
      <c r="C42" t="s">
        <v>92</v>
      </c>
      <c r="D42" t="s">
        <v>122</v>
      </c>
      <c r="E42">
        <v>48.881498595899998</v>
      </c>
      <c r="F42">
        <v>2.3702621266600001</v>
      </c>
    </row>
    <row r="43" spans="1:6" x14ac:dyDescent="0.2">
      <c r="A43">
        <v>420</v>
      </c>
      <c r="B43" t="s">
        <v>147</v>
      </c>
      <c r="C43" t="s">
        <v>92</v>
      </c>
      <c r="D43" t="s">
        <v>123</v>
      </c>
      <c r="E43">
        <v>48.877610187400002</v>
      </c>
      <c r="F43">
        <v>2.3708113953100001</v>
      </c>
    </row>
    <row r="44" spans="1:6" x14ac:dyDescent="0.2">
      <c r="A44">
        <v>430</v>
      </c>
      <c r="B44" t="s">
        <v>148</v>
      </c>
      <c r="C44" t="s">
        <v>92</v>
      </c>
      <c r="D44" t="s">
        <v>124</v>
      </c>
      <c r="E44">
        <v>48.872310113799998</v>
      </c>
      <c r="F44">
        <v>2.3767021447299999</v>
      </c>
    </row>
    <row r="45" spans="1:6" x14ac:dyDescent="0.2">
      <c r="A45">
        <v>440</v>
      </c>
      <c r="B45" t="s">
        <v>149</v>
      </c>
      <c r="C45" t="s">
        <v>92</v>
      </c>
      <c r="D45" t="s">
        <v>125</v>
      </c>
      <c r="E45">
        <v>48.869091162899998</v>
      </c>
      <c r="F45">
        <v>2.3805425859899998</v>
      </c>
    </row>
    <row r="46" spans="1:6" x14ac:dyDescent="0.2">
      <c r="A46">
        <v>450</v>
      </c>
      <c r="B46" t="s">
        <v>150</v>
      </c>
      <c r="C46" t="s">
        <v>92</v>
      </c>
      <c r="D46" t="s">
        <v>126</v>
      </c>
      <c r="E46">
        <v>48.866800035099999</v>
      </c>
      <c r="F46">
        <v>2.3833832504600001</v>
      </c>
    </row>
    <row r="47" spans="1:6" x14ac:dyDescent="0.2">
      <c r="A47">
        <v>460</v>
      </c>
      <c r="B47" t="s">
        <v>151</v>
      </c>
      <c r="C47" t="s">
        <v>92</v>
      </c>
      <c r="D47" t="s">
        <v>127</v>
      </c>
      <c r="E47">
        <v>48.862654019099999</v>
      </c>
      <c r="F47">
        <v>2.3876072881499999</v>
      </c>
    </row>
    <row r="48" spans="1:6" x14ac:dyDescent="0.2">
      <c r="A48">
        <v>470</v>
      </c>
      <c r="B48" t="s">
        <v>152</v>
      </c>
      <c r="C48" t="s">
        <v>92</v>
      </c>
      <c r="D48" t="s">
        <v>128</v>
      </c>
      <c r="E48">
        <v>48.858466549399999</v>
      </c>
      <c r="F48">
        <v>2.3897298523499999</v>
      </c>
    </row>
    <row r="49" spans="1:6" x14ac:dyDescent="0.2">
      <c r="A49">
        <v>480</v>
      </c>
      <c r="B49" t="s">
        <v>153</v>
      </c>
      <c r="C49" t="s">
        <v>92</v>
      </c>
      <c r="D49" t="s">
        <v>129</v>
      </c>
      <c r="E49">
        <v>48.856377357200003</v>
      </c>
      <c r="F49">
        <v>2.3945619445599999</v>
      </c>
    </row>
    <row r="50" spans="1:6" x14ac:dyDescent="0.2">
      <c r="A50">
        <v>490</v>
      </c>
      <c r="B50" t="s">
        <v>154</v>
      </c>
      <c r="C50" t="s">
        <v>92</v>
      </c>
      <c r="D50" t="s">
        <v>130</v>
      </c>
      <c r="E50">
        <v>48.851510278200003</v>
      </c>
      <c r="F50">
        <v>2.3983023442700002</v>
      </c>
    </row>
    <row r="51" spans="1:6" x14ac:dyDescent="0.2">
      <c r="A51">
        <v>500</v>
      </c>
      <c r="B51" t="s">
        <v>155</v>
      </c>
      <c r="C51" t="s">
        <v>92</v>
      </c>
      <c r="D51" t="s">
        <v>25</v>
      </c>
      <c r="E51">
        <v>48.848474285999998</v>
      </c>
      <c r="F51">
        <v>2.3950623054300002</v>
      </c>
    </row>
    <row r="52" spans="1:6" x14ac:dyDescent="0.2">
      <c r="A52">
        <v>510</v>
      </c>
      <c r="B52" t="s">
        <v>202</v>
      </c>
      <c r="C52" t="s">
        <v>93</v>
      </c>
      <c r="D52" t="s">
        <v>227</v>
      </c>
      <c r="E52">
        <v>48.897821067099997</v>
      </c>
      <c r="F52">
        <v>2.2798095866899999</v>
      </c>
    </row>
    <row r="53" spans="1:6" x14ac:dyDescent="0.2">
      <c r="A53">
        <v>520</v>
      </c>
      <c r="B53" t="s">
        <v>203</v>
      </c>
      <c r="C53" t="s">
        <v>93</v>
      </c>
      <c r="D53" t="s">
        <v>228</v>
      </c>
      <c r="E53">
        <v>48.892082786000003</v>
      </c>
      <c r="F53">
        <v>2.2850095027499999</v>
      </c>
    </row>
    <row r="54" spans="1:6" x14ac:dyDescent="0.2">
      <c r="A54">
        <v>530</v>
      </c>
      <c r="B54" t="s">
        <v>204</v>
      </c>
      <c r="C54" t="s">
        <v>93</v>
      </c>
      <c r="D54" t="s">
        <v>229</v>
      </c>
      <c r="E54">
        <v>48.888706019799997</v>
      </c>
      <c r="F54">
        <v>2.2880836330499998</v>
      </c>
    </row>
    <row r="55" spans="1:6" x14ac:dyDescent="0.2">
      <c r="A55">
        <v>540</v>
      </c>
      <c r="B55" t="s">
        <v>205</v>
      </c>
      <c r="C55" t="s">
        <v>93</v>
      </c>
      <c r="D55" t="s">
        <v>230</v>
      </c>
      <c r="E55">
        <v>48.885793105200001</v>
      </c>
      <c r="F55">
        <v>2.2925823141000001</v>
      </c>
    </row>
    <row r="56" spans="1:6" x14ac:dyDescent="0.2">
      <c r="A56">
        <v>550</v>
      </c>
      <c r="B56" t="s">
        <v>206</v>
      </c>
      <c r="C56" t="s">
        <v>93</v>
      </c>
      <c r="D56" t="s">
        <v>231</v>
      </c>
      <c r="E56">
        <v>48.884896255199997</v>
      </c>
      <c r="F56">
        <v>2.2977243464799999</v>
      </c>
    </row>
    <row r="57" spans="1:6" x14ac:dyDescent="0.2">
      <c r="A57">
        <v>560</v>
      </c>
      <c r="B57" t="s">
        <v>207</v>
      </c>
      <c r="C57" t="s">
        <v>93</v>
      </c>
      <c r="D57" t="s">
        <v>232</v>
      </c>
      <c r="E57">
        <v>48.883809201200002</v>
      </c>
      <c r="F57">
        <v>2.3046744405299999</v>
      </c>
    </row>
    <row r="58" spans="1:6" x14ac:dyDescent="0.2">
      <c r="A58">
        <v>570</v>
      </c>
      <c r="B58" t="s">
        <v>208</v>
      </c>
      <c r="C58" t="s">
        <v>93</v>
      </c>
      <c r="D58" t="s">
        <v>233</v>
      </c>
      <c r="E58">
        <v>48.882891917499997</v>
      </c>
      <c r="F58">
        <v>2.30905226455</v>
      </c>
    </row>
    <row r="59" spans="1:6" x14ac:dyDescent="0.2">
      <c r="A59">
        <v>580</v>
      </c>
      <c r="B59" t="s">
        <v>209</v>
      </c>
      <c r="C59" t="s">
        <v>93</v>
      </c>
      <c r="D59" t="s">
        <v>113</v>
      </c>
      <c r="E59">
        <v>48.881150028500002</v>
      </c>
      <c r="F59">
        <v>2.31517662622</v>
      </c>
    </row>
    <row r="60" spans="1:6" x14ac:dyDescent="0.2">
      <c r="A60">
        <v>590</v>
      </c>
      <c r="B60" t="s">
        <v>210</v>
      </c>
      <c r="C60" t="s">
        <v>93</v>
      </c>
      <c r="D60" t="s">
        <v>234</v>
      </c>
      <c r="E60">
        <v>48.8787703685</v>
      </c>
      <c r="F60">
        <v>2.3222652131200001</v>
      </c>
    </row>
    <row r="61" spans="1:6" x14ac:dyDescent="0.2">
      <c r="A61">
        <v>600</v>
      </c>
      <c r="B61" t="s">
        <v>211</v>
      </c>
      <c r="C61" t="s">
        <v>93</v>
      </c>
      <c r="D61" t="s">
        <v>235</v>
      </c>
      <c r="E61">
        <v>48.864086574799998</v>
      </c>
      <c r="F61">
        <v>2.3807979861800002</v>
      </c>
    </row>
    <row r="62" spans="1:6" x14ac:dyDescent="0.2">
      <c r="A62">
        <v>610</v>
      </c>
      <c r="B62" t="s">
        <v>212</v>
      </c>
      <c r="C62" t="s">
        <v>93</v>
      </c>
      <c r="D62" t="s">
        <v>236</v>
      </c>
      <c r="E62">
        <v>48.873513389599999</v>
      </c>
      <c r="F62">
        <v>2.3275430803599999</v>
      </c>
    </row>
    <row r="63" spans="1:6" x14ac:dyDescent="0.2">
      <c r="A63">
        <v>620</v>
      </c>
      <c r="B63" t="s">
        <v>213</v>
      </c>
      <c r="C63" t="s">
        <v>93</v>
      </c>
      <c r="D63" t="s">
        <v>237</v>
      </c>
      <c r="E63">
        <v>48.870991783900003</v>
      </c>
      <c r="F63">
        <v>2.3319895226799998</v>
      </c>
    </row>
    <row r="64" spans="1:6" x14ac:dyDescent="0.2">
      <c r="A64">
        <v>630</v>
      </c>
      <c r="B64" t="s">
        <v>214</v>
      </c>
      <c r="C64" t="s">
        <v>93</v>
      </c>
      <c r="D64" t="s">
        <v>238</v>
      </c>
      <c r="E64">
        <v>48.869585243499998</v>
      </c>
      <c r="F64">
        <v>2.3362188475200001</v>
      </c>
    </row>
    <row r="65" spans="1:6" x14ac:dyDescent="0.2">
      <c r="A65">
        <v>640</v>
      </c>
      <c r="B65" t="s">
        <v>215</v>
      </c>
      <c r="C65" t="s">
        <v>93</v>
      </c>
      <c r="D65" t="s">
        <v>239</v>
      </c>
      <c r="E65">
        <v>48.868695977800002</v>
      </c>
      <c r="F65">
        <v>2.3407207236700001</v>
      </c>
    </row>
    <row r="66" spans="1:6" x14ac:dyDescent="0.2">
      <c r="A66">
        <v>650</v>
      </c>
      <c r="B66" t="s">
        <v>216</v>
      </c>
      <c r="C66" t="s">
        <v>93</v>
      </c>
      <c r="D66" t="s">
        <v>240</v>
      </c>
      <c r="E66">
        <v>48.867309474999999</v>
      </c>
      <c r="F66">
        <v>2.34751621328</v>
      </c>
    </row>
    <row r="67" spans="1:6" x14ac:dyDescent="0.2">
      <c r="A67">
        <v>660</v>
      </c>
      <c r="B67" t="s">
        <v>217</v>
      </c>
      <c r="C67" t="s">
        <v>93</v>
      </c>
      <c r="D67" t="s">
        <v>241</v>
      </c>
      <c r="E67">
        <v>48.866340299299999</v>
      </c>
      <c r="F67">
        <v>2.3520683180500002</v>
      </c>
    </row>
    <row r="68" spans="1:6" x14ac:dyDescent="0.2">
      <c r="A68">
        <v>670</v>
      </c>
      <c r="B68" t="s">
        <v>218</v>
      </c>
      <c r="C68" t="s">
        <v>93</v>
      </c>
      <c r="D68" t="s">
        <v>242</v>
      </c>
      <c r="E68">
        <v>48.865586477599997</v>
      </c>
      <c r="F68">
        <v>2.3567367568100002</v>
      </c>
    </row>
    <row r="69" spans="1:6" x14ac:dyDescent="0.2">
      <c r="A69">
        <v>680</v>
      </c>
      <c r="B69" t="s">
        <v>219</v>
      </c>
      <c r="C69" t="s">
        <v>93</v>
      </c>
      <c r="D69" t="s">
        <v>243</v>
      </c>
      <c r="E69">
        <v>48.8666826802</v>
      </c>
      <c r="F69">
        <v>2.3615415320699999</v>
      </c>
    </row>
    <row r="70" spans="1:6" x14ac:dyDescent="0.2">
      <c r="A70">
        <v>690</v>
      </c>
      <c r="B70" t="s">
        <v>220</v>
      </c>
      <c r="C70" t="s">
        <v>93</v>
      </c>
      <c r="D70" t="s">
        <v>244</v>
      </c>
      <c r="E70">
        <v>48.867026787599997</v>
      </c>
      <c r="F70">
        <v>2.3642479937499998</v>
      </c>
    </row>
    <row r="71" spans="1:6" x14ac:dyDescent="0.2">
      <c r="A71">
        <v>700</v>
      </c>
      <c r="B71" t="s">
        <v>221</v>
      </c>
      <c r="C71" t="s">
        <v>93</v>
      </c>
      <c r="D71" t="s">
        <v>245</v>
      </c>
      <c r="E71">
        <v>48.865253786099998</v>
      </c>
      <c r="F71">
        <v>2.3745819699999999</v>
      </c>
    </row>
    <row r="72" spans="1:6" x14ac:dyDescent="0.2">
      <c r="A72">
        <v>710</v>
      </c>
      <c r="B72" t="s">
        <v>222</v>
      </c>
      <c r="C72" t="s">
        <v>93</v>
      </c>
      <c r="D72" t="s">
        <v>246</v>
      </c>
      <c r="E72">
        <v>48.875006398099998</v>
      </c>
      <c r="F72">
        <v>2.3245748102900001</v>
      </c>
    </row>
    <row r="73" spans="1:6" x14ac:dyDescent="0.2">
      <c r="A73">
        <v>720</v>
      </c>
      <c r="B73" t="s">
        <v>223</v>
      </c>
      <c r="C73" t="s">
        <v>93</v>
      </c>
      <c r="D73" t="s">
        <v>127</v>
      </c>
      <c r="E73">
        <v>48.863123214600002</v>
      </c>
      <c r="F73">
        <v>2.3858824493299999</v>
      </c>
    </row>
    <row r="74" spans="1:6" x14ac:dyDescent="0.2">
      <c r="A74">
        <v>730</v>
      </c>
      <c r="B74" t="s">
        <v>224</v>
      </c>
      <c r="C74" t="s">
        <v>93</v>
      </c>
      <c r="D74" t="s">
        <v>247</v>
      </c>
      <c r="E74">
        <v>48.864916685099999</v>
      </c>
      <c r="F74">
        <v>2.39898444025</v>
      </c>
    </row>
    <row r="75" spans="1:6" x14ac:dyDescent="0.2">
      <c r="A75">
        <v>740</v>
      </c>
      <c r="B75" t="s">
        <v>225</v>
      </c>
      <c r="C75" t="s">
        <v>93</v>
      </c>
      <c r="D75" t="s">
        <v>248</v>
      </c>
      <c r="E75">
        <v>48.864600373400002</v>
      </c>
      <c r="F75">
        <v>2.4080310370800002</v>
      </c>
    </row>
    <row r="76" spans="1:6" x14ac:dyDescent="0.2">
      <c r="A76">
        <v>750</v>
      </c>
      <c r="B76" t="s">
        <v>226</v>
      </c>
      <c r="C76" t="s">
        <v>93</v>
      </c>
      <c r="D76" t="s">
        <v>249</v>
      </c>
      <c r="E76">
        <v>48.865335317300001</v>
      </c>
      <c r="F76">
        <v>2.41669727286</v>
      </c>
    </row>
    <row r="77" spans="1:6" x14ac:dyDescent="0.2">
      <c r="A77">
        <v>760</v>
      </c>
      <c r="B77" t="s">
        <v>263</v>
      </c>
      <c r="C77" t="s">
        <v>262</v>
      </c>
      <c r="D77" t="s">
        <v>259</v>
      </c>
      <c r="E77">
        <v>48.877110511799998</v>
      </c>
      <c r="F77">
        <v>2.4067292455399998</v>
      </c>
    </row>
    <row r="78" spans="1:6" x14ac:dyDescent="0.2">
      <c r="A78">
        <v>770</v>
      </c>
      <c r="B78" t="s">
        <v>264</v>
      </c>
      <c r="C78" t="s">
        <v>262</v>
      </c>
      <c r="D78" t="s">
        <v>260</v>
      </c>
      <c r="E78">
        <v>48.872101442100004</v>
      </c>
      <c r="F78">
        <v>2.4045149423800001</v>
      </c>
    </row>
    <row r="79" spans="1:6" x14ac:dyDescent="0.2">
      <c r="A79">
        <v>780</v>
      </c>
      <c r="B79" t="s">
        <v>265</v>
      </c>
      <c r="C79" t="s">
        <v>262</v>
      </c>
      <c r="D79" t="s">
        <v>261</v>
      </c>
      <c r="E79">
        <v>48.868440163300001</v>
      </c>
      <c r="F79">
        <v>2.40156171274</v>
      </c>
    </row>
    <row r="80" spans="1:6" x14ac:dyDescent="0.2">
      <c r="A80">
        <v>790</v>
      </c>
      <c r="B80" t="s">
        <v>266</v>
      </c>
      <c r="C80" t="s">
        <v>262</v>
      </c>
      <c r="D80" t="s">
        <v>247</v>
      </c>
      <c r="E80">
        <v>48.865163434899998</v>
      </c>
      <c r="F80">
        <v>2.3987465934399999</v>
      </c>
    </row>
    <row r="81" spans="1:6" x14ac:dyDescent="0.2">
      <c r="A81">
        <v>800</v>
      </c>
      <c r="B81" t="s">
        <v>279</v>
      </c>
      <c r="C81" t="s">
        <v>94</v>
      </c>
      <c r="D81" t="s">
        <v>306</v>
      </c>
      <c r="E81">
        <v>48.897402222899998</v>
      </c>
      <c r="F81">
        <v>2.3448477487499999</v>
      </c>
    </row>
    <row r="82" spans="1:6" x14ac:dyDescent="0.2">
      <c r="A82">
        <v>810</v>
      </c>
      <c r="B82" t="s">
        <v>280</v>
      </c>
      <c r="C82" t="s">
        <v>94</v>
      </c>
      <c r="D82" t="s">
        <v>307</v>
      </c>
      <c r="E82">
        <v>48.893941388000002</v>
      </c>
      <c r="F82">
        <v>2.3477655017200001</v>
      </c>
    </row>
    <row r="83" spans="1:6" x14ac:dyDescent="0.2">
      <c r="A83">
        <v>820</v>
      </c>
      <c r="B83" t="s">
        <v>281</v>
      </c>
      <c r="C83" t="s">
        <v>94</v>
      </c>
      <c r="D83" t="s">
        <v>308</v>
      </c>
      <c r="E83">
        <v>48.891416834200001</v>
      </c>
      <c r="F83">
        <v>2.3497384070199998</v>
      </c>
    </row>
    <row r="84" spans="1:6" x14ac:dyDescent="0.2">
      <c r="A84">
        <v>830</v>
      </c>
      <c r="B84" t="s">
        <v>282</v>
      </c>
      <c r="C84" t="s">
        <v>94</v>
      </c>
      <c r="D84" t="s">
        <v>309</v>
      </c>
      <c r="E84">
        <v>48.887374910600002</v>
      </c>
      <c r="F84">
        <v>2.3496940822000001</v>
      </c>
    </row>
    <row r="85" spans="1:6" x14ac:dyDescent="0.2">
      <c r="A85">
        <v>840</v>
      </c>
      <c r="B85" t="s">
        <v>283</v>
      </c>
      <c r="C85" t="s">
        <v>94</v>
      </c>
      <c r="D85" t="s">
        <v>119</v>
      </c>
      <c r="E85">
        <v>48.883436188099999</v>
      </c>
      <c r="F85">
        <v>2.3497744436499999</v>
      </c>
    </row>
    <row r="86" spans="1:6" x14ac:dyDescent="0.2">
      <c r="A86">
        <v>850</v>
      </c>
      <c r="B86" t="s">
        <v>284</v>
      </c>
      <c r="C86" t="s">
        <v>94</v>
      </c>
      <c r="D86" t="s">
        <v>310</v>
      </c>
      <c r="E86">
        <v>48.879551284400002</v>
      </c>
      <c r="F86">
        <v>2.3569951640100002</v>
      </c>
    </row>
    <row r="87" spans="1:6" x14ac:dyDescent="0.2">
      <c r="A87">
        <v>860</v>
      </c>
      <c r="B87" t="s">
        <v>285</v>
      </c>
      <c r="C87" t="s">
        <v>94</v>
      </c>
      <c r="D87" t="s">
        <v>311</v>
      </c>
      <c r="E87">
        <v>48.875991064799997</v>
      </c>
      <c r="F87">
        <v>2.3578807719300001</v>
      </c>
    </row>
    <row r="88" spans="1:6" x14ac:dyDescent="0.2">
      <c r="A88">
        <v>870</v>
      </c>
      <c r="B88" t="s">
        <v>286</v>
      </c>
      <c r="C88" t="s">
        <v>94</v>
      </c>
      <c r="D88" t="s">
        <v>312</v>
      </c>
      <c r="E88">
        <v>48.872424914500002</v>
      </c>
      <c r="F88">
        <v>2.3560449076699999</v>
      </c>
    </row>
    <row r="89" spans="1:6" x14ac:dyDescent="0.2">
      <c r="A89">
        <v>880</v>
      </c>
      <c r="B89" t="s">
        <v>287</v>
      </c>
      <c r="C89" t="s">
        <v>94</v>
      </c>
      <c r="D89" t="s">
        <v>313</v>
      </c>
      <c r="E89">
        <v>48.869490774500001</v>
      </c>
      <c r="F89">
        <v>2.3543917683900002</v>
      </c>
    </row>
    <row r="90" spans="1:6" x14ac:dyDescent="0.2">
      <c r="A90">
        <v>890</v>
      </c>
      <c r="B90" t="s">
        <v>288</v>
      </c>
      <c r="C90" t="s">
        <v>94</v>
      </c>
      <c r="D90" t="s">
        <v>241</v>
      </c>
      <c r="E90">
        <v>48.866069689100001</v>
      </c>
      <c r="F90">
        <v>2.3524597441099999</v>
      </c>
    </row>
    <row r="91" spans="1:6" x14ac:dyDescent="0.2">
      <c r="A91">
        <v>900</v>
      </c>
      <c r="B91" t="s">
        <v>289</v>
      </c>
      <c r="C91" t="s">
        <v>94</v>
      </c>
      <c r="D91" t="s">
        <v>314</v>
      </c>
      <c r="E91">
        <v>48.863807437799998</v>
      </c>
      <c r="F91">
        <v>2.3488806525900001</v>
      </c>
    </row>
    <row r="92" spans="1:6" x14ac:dyDescent="0.2">
      <c r="A92">
        <v>910</v>
      </c>
      <c r="B92" t="s">
        <v>290</v>
      </c>
      <c r="C92" t="s">
        <v>94</v>
      </c>
      <c r="D92" t="s">
        <v>315</v>
      </c>
      <c r="E92">
        <v>48.8623162787</v>
      </c>
      <c r="F92">
        <v>2.3456738282199998</v>
      </c>
    </row>
    <row r="93" spans="1:6" x14ac:dyDescent="0.2">
      <c r="A93">
        <v>920</v>
      </c>
      <c r="B93" t="s">
        <v>291</v>
      </c>
      <c r="C93" t="s">
        <v>94</v>
      </c>
      <c r="D93" t="s">
        <v>20</v>
      </c>
      <c r="E93">
        <v>48.858382370299999</v>
      </c>
      <c r="F93">
        <v>2.34756482975</v>
      </c>
    </row>
    <row r="94" spans="1:6" x14ac:dyDescent="0.2">
      <c r="A94">
        <v>930</v>
      </c>
      <c r="B94" t="s">
        <v>292</v>
      </c>
      <c r="C94" t="s">
        <v>94</v>
      </c>
      <c r="D94" t="s">
        <v>316</v>
      </c>
      <c r="E94">
        <v>48.854936376600001</v>
      </c>
      <c r="F94">
        <v>2.3473213157299999</v>
      </c>
    </row>
    <row r="95" spans="1:6" x14ac:dyDescent="0.2">
      <c r="A95">
        <v>940</v>
      </c>
      <c r="B95" t="s">
        <v>293</v>
      </c>
      <c r="C95" t="s">
        <v>94</v>
      </c>
      <c r="D95" t="s">
        <v>317</v>
      </c>
      <c r="E95">
        <v>48.853167984899997</v>
      </c>
      <c r="F95">
        <v>2.34328597892</v>
      </c>
    </row>
    <row r="96" spans="1:6" x14ac:dyDescent="0.2">
      <c r="A96">
        <v>950</v>
      </c>
      <c r="B96" t="s">
        <v>294</v>
      </c>
      <c r="C96" t="s">
        <v>94</v>
      </c>
      <c r="D96" t="s">
        <v>318</v>
      </c>
      <c r="E96">
        <v>48.852300763099997</v>
      </c>
      <c r="F96">
        <v>2.3397277815900002</v>
      </c>
    </row>
    <row r="97" spans="1:6" x14ac:dyDescent="0.2">
      <c r="A97">
        <v>960</v>
      </c>
      <c r="B97" t="s">
        <v>295</v>
      </c>
      <c r="C97" t="s">
        <v>94</v>
      </c>
      <c r="D97" t="s">
        <v>319</v>
      </c>
      <c r="E97">
        <v>48.853718934</v>
      </c>
      <c r="F97">
        <v>2.3337761368600001</v>
      </c>
    </row>
    <row r="98" spans="1:6" x14ac:dyDescent="0.2">
      <c r="A98">
        <v>970</v>
      </c>
      <c r="B98" t="s">
        <v>296</v>
      </c>
      <c r="C98" t="s">
        <v>94</v>
      </c>
      <c r="D98" t="s">
        <v>320</v>
      </c>
      <c r="E98">
        <v>48.8516722456</v>
      </c>
      <c r="F98">
        <v>2.3312562913699999</v>
      </c>
    </row>
    <row r="99" spans="1:6" x14ac:dyDescent="0.2">
      <c r="A99">
        <v>980</v>
      </c>
      <c r="B99" t="s">
        <v>297</v>
      </c>
      <c r="C99" t="s">
        <v>94</v>
      </c>
      <c r="D99" t="s">
        <v>321</v>
      </c>
      <c r="E99">
        <v>48.846878238000002</v>
      </c>
      <c r="F99">
        <v>2.3267927850399999</v>
      </c>
    </row>
    <row r="100" spans="1:6" x14ac:dyDescent="0.2">
      <c r="A100">
        <v>990</v>
      </c>
      <c r="B100" t="s">
        <v>298</v>
      </c>
      <c r="C100" t="s">
        <v>94</v>
      </c>
      <c r="D100" t="s">
        <v>322</v>
      </c>
      <c r="E100">
        <v>48.843781304799997</v>
      </c>
      <c r="F100">
        <v>2.3243970124</v>
      </c>
    </row>
    <row r="101" spans="1:6" x14ac:dyDescent="0.2">
      <c r="A101">
        <v>1000</v>
      </c>
      <c r="B101" t="s">
        <v>299</v>
      </c>
      <c r="C101" t="s">
        <v>94</v>
      </c>
      <c r="D101" t="s">
        <v>323</v>
      </c>
      <c r="E101">
        <v>48.842218413600001</v>
      </c>
      <c r="F101">
        <v>2.3290089262400002</v>
      </c>
    </row>
    <row r="102" spans="1:6" x14ac:dyDescent="0.2">
      <c r="A102">
        <v>1010</v>
      </c>
      <c r="B102" t="s">
        <v>300</v>
      </c>
      <c r="C102" t="s">
        <v>94</v>
      </c>
      <c r="D102" t="s">
        <v>324</v>
      </c>
      <c r="E102">
        <v>48.838964280699997</v>
      </c>
      <c r="F102">
        <v>2.3307541920900001</v>
      </c>
    </row>
    <row r="103" spans="1:6" x14ac:dyDescent="0.2">
      <c r="A103">
        <v>1020</v>
      </c>
      <c r="B103" t="s">
        <v>301</v>
      </c>
      <c r="C103" t="s">
        <v>94</v>
      </c>
      <c r="D103" t="s">
        <v>325</v>
      </c>
      <c r="E103">
        <v>48.833450858200003</v>
      </c>
      <c r="F103">
        <v>2.3317401309900001</v>
      </c>
    </row>
    <row r="104" spans="1:6" x14ac:dyDescent="0.2">
      <c r="A104">
        <v>1030</v>
      </c>
      <c r="B104" t="s">
        <v>302</v>
      </c>
      <c r="C104" t="s">
        <v>94</v>
      </c>
      <c r="D104" t="s">
        <v>326</v>
      </c>
      <c r="E104">
        <v>48.831112660400002</v>
      </c>
      <c r="F104">
        <v>2.3297050126199998</v>
      </c>
    </row>
    <row r="105" spans="1:6" x14ac:dyDescent="0.2">
      <c r="A105">
        <v>1040</v>
      </c>
      <c r="B105" t="s">
        <v>303</v>
      </c>
      <c r="C105" t="s">
        <v>94</v>
      </c>
      <c r="D105" t="s">
        <v>327</v>
      </c>
      <c r="E105">
        <v>48.828188476299999</v>
      </c>
      <c r="F105">
        <v>2.3271646496099998</v>
      </c>
    </row>
    <row r="106" spans="1:6" x14ac:dyDescent="0.2">
      <c r="A106">
        <v>1050</v>
      </c>
      <c r="B106" t="s">
        <v>304</v>
      </c>
      <c r="C106" t="s">
        <v>94</v>
      </c>
      <c r="D106" t="s">
        <v>2202</v>
      </c>
      <c r="E106">
        <v>48.823411628999999</v>
      </c>
      <c r="F106">
        <v>2.32557563621</v>
      </c>
    </row>
    <row r="107" spans="1:6" x14ac:dyDescent="0.2">
      <c r="A107">
        <v>1060</v>
      </c>
      <c r="B107" t="s">
        <v>305</v>
      </c>
      <c r="C107" t="s">
        <v>94</v>
      </c>
      <c r="D107" t="s">
        <v>328</v>
      </c>
      <c r="E107">
        <v>48.8186764099</v>
      </c>
      <c r="F107">
        <v>2.3197403133000001</v>
      </c>
    </row>
    <row r="108" spans="1:6" x14ac:dyDescent="0.2">
      <c r="A108">
        <v>1070</v>
      </c>
      <c r="B108" t="s">
        <v>378</v>
      </c>
      <c r="C108" t="s">
        <v>402</v>
      </c>
      <c r="D108" t="s">
        <v>403</v>
      </c>
      <c r="E108">
        <v>48.906374770299998</v>
      </c>
      <c r="F108">
        <v>2.4491899044899998</v>
      </c>
    </row>
    <row r="109" spans="1:6" x14ac:dyDescent="0.2">
      <c r="A109">
        <v>1080</v>
      </c>
      <c r="B109" t="s">
        <v>379</v>
      </c>
      <c r="C109" t="s">
        <v>402</v>
      </c>
      <c r="D109" t="s">
        <v>404</v>
      </c>
      <c r="E109">
        <v>48.895454673000003</v>
      </c>
      <c r="F109">
        <v>2.4253268887999999</v>
      </c>
    </row>
    <row r="110" spans="1:6" x14ac:dyDescent="0.2">
      <c r="A110">
        <v>1090</v>
      </c>
      <c r="B110" t="s">
        <v>380</v>
      </c>
      <c r="C110" t="s">
        <v>402</v>
      </c>
      <c r="D110" t="s">
        <v>405</v>
      </c>
      <c r="E110">
        <v>48.893257589999997</v>
      </c>
      <c r="F110">
        <v>2.41331313951</v>
      </c>
    </row>
    <row r="111" spans="1:6" x14ac:dyDescent="0.2">
      <c r="A111">
        <v>1100</v>
      </c>
      <c r="B111" t="s">
        <v>381</v>
      </c>
      <c r="C111" t="s">
        <v>402</v>
      </c>
      <c r="D111" t="s">
        <v>406</v>
      </c>
      <c r="E111">
        <v>48.891228593199997</v>
      </c>
      <c r="F111">
        <v>2.4023521425399998</v>
      </c>
    </row>
    <row r="112" spans="1:6" x14ac:dyDescent="0.2">
      <c r="A112">
        <v>1110</v>
      </c>
      <c r="B112" t="s">
        <v>382</v>
      </c>
      <c r="C112" t="s">
        <v>402</v>
      </c>
      <c r="D112" t="s">
        <v>407</v>
      </c>
      <c r="E112">
        <v>48.888503687899998</v>
      </c>
      <c r="F112">
        <v>2.3921136977600002</v>
      </c>
    </row>
    <row r="113" spans="1:6" x14ac:dyDescent="0.2">
      <c r="A113">
        <v>1120</v>
      </c>
      <c r="B113" t="s">
        <v>383</v>
      </c>
      <c r="C113" t="s">
        <v>402</v>
      </c>
      <c r="D113" t="s">
        <v>408</v>
      </c>
      <c r="E113">
        <v>48.887134869100002</v>
      </c>
      <c r="F113">
        <v>2.3869600171399998</v>
      </c>
    </row>
    <row r="114" spans="1:6" x14ac:dyDescent="0.2">
      <c r="A114">
        <v>1130</v>
      </c>
      <c r="B114" t="s">
        <v>384</v>
      </c>
      <c r="C114" t="s">
        <v>402</v>
      </c>
      <c r="D114" t="s">
        <v>409</v>
      </c>
      <c r="E114">
        <v>48.885216182100002</v>
      </c>
      <c r="F114">
        <v>2.3796630774800001</v>
      </c>
    </row>
    <row r="115" spans="1:6" x14ac:dyDescent="0.2">
      <c r="A115">
        <v>1140</v>
      </c>
      <c r="B115" t="s">
        <v>385</v>
      </c>
      <c r="C115" t="s">
        <v>402</v>
      </c>
      <c r="D115" t="s">
        <v>122</v>
      </c>
      <c r="E115">
        <v>48.883147451399999</v>
      </c>
      <c r="F115">
        <v>2.3710014407500002</v>
      </c>
    </row>
    <row r="116" spans="1:6" x14ac:dyDescent="0.2">
      <c r="A116">
        <v>1150</v>
      </c>
      <c r="B116" t="s">
        <v>386</v>
      </c>
      <c r="C116" t="s">
        <v>402</v>
      </c>
      <c r="D116" t="s">
        <v>121</v>
      </c>
      <c r="E116">
        <v>48.884420886400001</v>
      </c>
      <c r="F116">
        <v>2.3658938199400001</v>
      </c>
    </row>
    <row r="117" spans="1:6" x14ac:dyDescent="0.2">
      <c r="A117">
        <v>1160</v>
      </c>
      <c r="B117" t="s">
        <v>387</v>
      </c>
      <c r="C117" t="s">
        <v>402</v>
      </c>
      <c r="D117" t="s">
        <v>310</v>
      </c>
      <c r="E117">
        <v>48.879850142499997</v>
      </c>
      <c r="F117">
        <v>2.3574593465899998</v>
      </c>
    </row>
    <row r="118" spans="1:6" x14ac:dyDescent="0.2">
      <c r="A118">
        <v>1170</v>
      </c>
      <c r="B118" t="s">
        <v>388</v>
      </c>
      <c r="C118" t="s">
        <v>402</v>
      </c>
      <c r="D118" t="s">
        <v>311</v>
      </c>
      <c r="E118">
        <v>48.876126352900002</v>
      </c>
      <c r="F118">
        <v>2.3580475053600001</v>
      </c>
    </row>
    <row r="119" spans="1:6" x14ac:dyDescent="0.2">
      <c r="A119">
        <v>1180</v>
      </c>
      <c r="B119" t="s">
        <v>389</v>
      </c>
      <c r="C119" t="s">
        <v>402</v>
      </c>
      <c r="D119" t="s">
        <v>410</v>
      </c>
      <c r="E119">
        <v>48.870809979999997</v>
      </c>
      <c r="F119">
        <v>2.36102746692</v>
      </c>
    </row>
    <row r="120" spans="1:6" x14ac:dyDescent="0.2">
      <c r="A120">
        <v>1190</v>
      </c>
      <c r="B120" t="s">
        <v>390</v>
      </c>
      <c r="C120" t="s">
        <v>402</v>
      </c>
      <c r="D120" t="s">
        <v>244</v>
      </c>
      <c r="E120">
        <v>48.8673844729</v>
      </c>
      <c r="F120">
        <v>2.36426495043</v>
      </c>
    </row>
    <row r="121" spans="1:6" x14ac:dyDescent="0.2">
      <c r="A121">
        <v>1200</v>
      </c>
      <c r="B121" t="s">
        <v>391</v>
      </c>
      <c r="C121" t="s">
        <v>402</v>
      </c>
      <c r="D121" t="s">
        <v>411</v>
      </c>
      <c r="E121">
        <v>48.864657879600003</v>
      </c>
      <c r="F121">
        <v>2.3684100256599998</v>
      </c>
    </row>
    <row r="122" spans="1:6" x14ac:dyDescent="0.2">
      <c r="A122">
        <v>1210</v>
      </c>
      <c r="B122" t="s">
        <v>392</v>
      </c>
      <c r="C122" t="s">
        <v>402</v>
      </c>
      <c r="D122" t="s">
        <v>412</v>
      </c>
      <c r="E122">
        <v>48.859873624400002</v>
      </c>
      <c r="F122">
        <v>2.37191398009</v>
      </c>
    </row>
    <row r="123" spans="1:6" x14ac:dyDescent="0.2">
      <c r="A123">
        <v>1220</v>
      </c>
      <c r="B123" t="s">
        <v>393</v>
      </c>
      <c r="C123" t="s">
        <v>402</v>
      </c>
      <c r="D123" t="s">
        <v>413</v>
      </c>
      <c r="E123">
        <v>48.8561407093</v>
      </c>
      <c r="F123">
        <v>2.37020933841</v>
      </c>
    </row>
    <row r="124" spans="1:6" x14ac:dyDescent="0.2">
      <c r="A124">
        <v>1230</v>
      </c>
      <c r="B124" t="s">
        <v>394</v>
      </c>
      <c r="C124" t="s">
        <v>402</v>
      </c>
      <c r="D124" t="s">
        <v>23</v>
      </c>
      <c r="E124">
        <v>48.853436962300002</v>
      </c>
      <c r="F124">
        <v>2.36873657263</v>
      </c>
    </row>
    <row r="125" spans="1:6" x14ac:dyDescent="0.2">
      <c r="A125">
        <v>1240</v>
      </c>
      <c r="B125" t="s">
        <v>395</v>
      </c>
      <c r="C125" t="s">
        <v>402</v>
      </c>
      <c r="D125" t="s">
        <v>414</v>
      </c>
      <c r="E125">
        <v>48.846515404199998</v>
      </c>
      <c r="F125">
        <v>2.3658734694099999</v>
      </c>
    </row>
    <row r="126" spans="1:6" x14ac:dyDescent="0.2">
      <c r="A126">
        <v>1250</v>
      </c>
      <c r="B126" t="s">
        <v>396</v>
      </c>
      <c r="C126" t="s">
        <v>402</v>
      </c>
      <c r="D126" t="s">
        <v>415</v>
      </c>
      <c r="E126">
        <v>48.842265386500003</v>
      </c>
      <c r="F126">
        <v>2.3653386529699998</v>
      </c>
    </row>
    <row r="127" spans="1:6" x14ac:dyDescent="0.2">
      <c r="A127">
        <v>1260</v>
      </c>
      <c r="B127" t="s">
        <v>397</v>
      </c>
      <c r="C127" t="s">
        <v>402</v>
      </c>
      <c r="D127" t="s">
        <v>416</v>
      </c>
      <c r="E127">
        <v>48.838427297000003</v>
      </c>
      <c r="F127">
        <v>2.3609671677000001</v>
      </c>
    </row>
    <row r="128" spans="1:6" x14ac:dyDescent="0.2">
      <c r="A128">
        <v>1270</v>
      </c>
      <c r="B128" t="s">
        <v>398</v>
      </c>
      <c r="C128" t="s">
        <v>402</v>
      </c>
      <c r="D128" t="s">
        <v>417</v>
      </c>
      <c r="E128">
        <v>48.835495355399999</v>
      </c>
      <c r="F128">
        <v>2.3588234891000002</v>
      </c>
    </row>
    <row r="129" spans="1:6" x14ac:dyDescent="0.2">
      <c r="A129">
        <v>1280</v>
      </c>
      <c r="B129" t="s">
        <v>399</v>
      </c>
      <c r="C129" t="s">
        <v>402</v>
      </c>
      <c r="D129" t="s">
        <v>418</v>
      </c>
      <c r="E129">
        <v>48.830972672999998</v>
      </c>
      <c r="F129">
        <v>2.3555802740799998</v>
      </c>
    </row>
    <row r="130" spans="1:6" x14ac:dyDescent="0.2">
      <c r="A130">
        <v>1290</v>
      </c>
      <c r="B130" t="s">
        <v>400</v>
      </c>
      <c r="C130" t="s">
        <v>419</v>
      </c>
      <c r="D130" t="s">
        <v>96</v>
      </c>
      <c r="E130">
        <v>48.874748650699999</v>
      </c>
      <c r="F130">
        <v>2.2955602562099999</v>
      </c>
    </row>
    <row r="131" spans="1:6" x14ac:dyDescent="0.2">
      <c r="A131">
        <v>1300</v>
      </c>
      <c r="B131" t="s">
        <v>401</v>
      </c>
      <c r="C131" t="s">
        <v>419</v>
      </c>
      <c r="D131" t="s">
        <v>420</v>
      </c>
      <c r="E131">
        <v>48.871649769100003</v>
      </c>
      <c r="F131">
        <v>2.2935242903400002</v>
      </c>
    </row>
    <row r="132" spans="1:6" x14ac:dyDescent="0.2">
      <c r="A132">
        <v>1310</v>
      </c>
      <c r="B132" t="s">
        <v>442</v>
      </c>
      <c r="C132" t="s">
        <v>419</v>
      </c>
      <c r="D132" t="s">
        <v>421</v>
      </c>
      <c r="E132">
        <v>48.8669831104</v>
      </c>
      <c r="F132">
        <v>2.29005883493</v>
      </c>
    </row>
    <row r="133" spans="1:6" x14ac:dyDescent="0.2">
      <c r="A133">
        <v>1320</v>
      </c>
      <c r="B133" t="s">
        <v>444</v>
      </c>
      <c r="C133" t="s">
        <v>419</v>
      </c>
      <c r="D133" t="s">
        <v>422</v>
      </c>
      <c r="E133">
        <v>48.863610937600001</v>
      </c>
      <c r="F133">
        <v>2.2875801625299998</v>
      </c>
    </row>
    <row r="134" spans="1:6" x14ac:dyDescent="0.2">
      <c r="A134">
        <v>1330</v>
      </c>
      <c r="B134" t="s">
        <v>446</v>
      </c>
      <c r="C134" t="s">
        <v>419</v>
      </c>
      <c r="D134" t="s">
        <v>423</v>
      </c>
      <c r="E134">
        <v>48.857448691000002</v>
      </c>
      <c r="F134">
        <v>2.2858124441299998</v>
      </c>
    </row>
    <row r="135" spans="1:6" x14ac:dyDescent="0.2">
      <c r="A135">
        <v>1340</v>
      </c>
      <c r="B135" t="s">
        <v>448</v>
      </c>
      <c r="C135" t="s">
        <v>419</v>
      </c>
      <c r="D135" t="s">
        <v>424</v>
      </c>
      <c r="E135">
        <v>48.853942607100002</v>
      </c>
      <c r="F135">
        <v>2.2893345327699999</v>
      </c>
    </row>
    <row r="136" spans="1:6" x14ac:dyDescent="0.2">
      <c r="A136">
        <v>1350</v>
      </c>
      <c r="B136" t="s">
        <v>450</v>
      </c>
      <c r="C136" t="s">
        <v>419</v>
      </c>
      <c r="D136" t="s">
        <v>425</v>
      </c>
      <c r="E136">
        <v>48.850434548999999</v>
      </c>
      <c r="F136">
        <v>2.29361243991</v>
      </c>
    </row>
    <row r="137" spans="1:6" x14ac:dyDescent="0.2">
      <c r="A137">
        <v>1360</v>
      </c>
      <c r="B137" t="s">
        <v>452</v>
      </c>
      <c r="C137" t="s">
        <v>419</v>
      </c>
      <c r="D137" t="s">
        <v>426</v>
      </c>
      <c r="E137">
        <v>48.848741665699997</v>
      </c>
      <c r="F137">
        <v>2.2989309117499999</v>
      </c>
    </row>
    <row r="138" spans="1:6" x14ac:dyDescent="0.2">
      <c r="A138">
        <v>1370</v>
      </c>
      <c r="B138" t="s">
        <v>454</v>
      </c>
      <c r="C138" t="s">
        <v>419</v>
      </c>
      <c r="D138" t="s">
        <v>427</v>
      </c>
      <c r="E138">
        <v>48.847507081099998</v>
      </c>
      <c r="F138">
        <v>2.3029682991899998</v>
      </c>
    </row>
    <row r="139" spans="1:6" x14ac:dyDescent="0.2">
      <c r="A139">
        <v>1380</v>
      </c>
      <c r="B139" t="s">
        <v>456</v>
      </c>
      <c r="C139" t="s">
        <v>419</v>
      </c>
      <c r="D139" t="s">
        <v>428</v>
      </c>
      <c r="E139">
        <v>48.845626966700003</v>
      </c>
      <c r="F139">
        <v>2.3095314900999999</v>
      </c>
    </row>
    <row r="140" spans="1:6" x14ac:dyDescent="0.2">
      <c r="A140">
        <v>1390</v>
      </c>
      <c r="B140" t="s">
        <v>458</v>
      </c>
      <c r="C140" t="s">
        <v>419</v>
      </c>
      <c r="D140" t="s">
        <v>429</v>
      </c>
      <c r="E140">
        <v>48.842676820000001</v>
      </c>
      <c r="F140">
        <v>2.3128127734700001</v>
      </c>
    </row>
    <row r="141" spans="1:6" x14ac:dyDescent="0.2">
      <c r="A141">
        <v>1400</v>
      </c>
      <c r="B141" t="s">
        <v>460</v>
      </c>
      <c r="C141" t="s">
        <v>419</v>
      </c>
      <c r="D141" t="s">
        <v>322</v>
      </c>
      <c r="E141">
        <v>48.8421022072</v>
      </c>
      <c r="F141">
        <v>2.3212785627399999</v>
      </c>
    </row>
    <row r="142" spans="1:6" x14ac:dyDescent="0.2">
      <c r="A142">
        <v>1410</v>
      </c>
      <c r="B142" t="s">
        <v>462</v>
      </c>
      <c r="C142" t="s">
        <v>419</v>
      </c>
      <c r="D142" t="s">
        <v>430</v>
      </c>
      <c r="E142">
        <v>48.840663229299999</v>
      </c>
      <c r="F142">
        <v>2.3263846107899999</v>
      </c>
    </row>
    <row r="143" spans="1:6" x14ac:dyDescent="0.2">
      <c r="A143">
        <v>1420</v>
      </c>
      <c r="B143" t="s">
        <v>464</v>
      </c>
      <c r="C143" t="s">
        <v>419</v>
      </c>
      <c r="D143" t="s">
        <v>324</v>
      </c>
      <c r="E143">
        <v>48.838964280699997</v>
      </c>
      <c r="F143">
        <v>2.3307541920900001</v>
      </c>
    </row>
    <row r="144" spans="1:6" x14ac:dyDescent="0.2">
      <c r="A144">
        <v>1430</v>
      </c>
      <c r="B144" t="s">
        <v>466</v>
      </c>
      <c r="C144" t="s">
        <v>419</v>
      </c>
      <c r="D144" t="s">
        <v>325</v>
      </c>
      <c r="E144">
        <v>48.834292980500003</v>
      </c>
      <c r="F144">
        <v>2.3328523099599998</v>
      </c>
    </row>
    <row r="145" spans="1:6" x14ac:dyDescent="0.2">
      <c r="A145">
        <v>1440</v>
      </c>
      <c r="B145" t="s">
        <v>468</v>
      </c>
      <c r="C145" t="s">
        <v>419</v>
      </c>
      <c r="D145" t="s">
        <v>431</v>
      </c>
      <c r="E145">
        <v>48.8329008165</v>
      </c>
      <c r="F145">
        <v>2.3371351906100002</v>
      </c>
    </row>
    <row r="146" spans="1:6" x14ac:dyDescent="0.2">
      <c r="A146">
        <v>1450</v>
      </c>
      <c r="B146" t="s">
        <v>470</v>
      </c>
      <c r="C146" t="s">
        <v>419</v>
      </c>
      <c r="D146" t="s">
        <v>432</v>
      </c>
      <c r="E146">
        <v>48.831129548</v>
      </c>
      <c r="F146">
        <v>2.3435116577500001</v>
      </c>
    </row>
    <row r="147" spans="1:6" x14ac:dyDescent="0.2">
      <c r="A147">
        <v>1460</v>
      </c>
      <c r="B147" t="s">
        <v>472</v>
      </c>
      <c r="C147" t="s">
        <v>419</v>
      </c>
      <c r="D147" t="s">
        <v>433</v>
      </c>
      <c r="E147">
        <v>48.829790513699997</v>
      </c>
      <c r="F147">
        <v>2.35041487201</v>
      </c>
    </row>
    <row r="148" spans="1:6" x14ac:dyDescent="0.2">
      <c r="A148">
        <v>1470</v>
      </c>
      <c r="B148" t="s">
        <v>474</v>
      </c>
      <c r="C148" t="s">
        <v>419</v>
      </c>
      <c r="D148" t="s">
        <v>418</v>
      </c>
      <c r="E148">
        <v>48.830927240999998</v>
      </c>
      <c r="F148">
        <v>2.3561219387999999</v>
      </c>
    </row>
    <row r="149" spans="1:6" x14ac:dyDescent="0.2">
      <c r="A149">
        <v>1480</v>
      </c>
      <c r="B149" t="s">
        <v>476</v>
      </c>
      <c r="C149" t="s">
        <v>419</v>
      </c>
      <c r="D149" t="s">
        <v>434</v>
      </c>
      <c r="E149">
        <v>48.833216719699998</v>
      </c>
      <c r="F149">
        <v>2.36285639952</v>
      </c>
    </row>
    <row r="150" spans="1:6" x14ac:dyDescent="0.2">
      <c r="A150">
        <v>1490</v>
      </c>
      <c r="B150" t="s">
        <v>478</v>
      </c>
      <c r="C150" t="s">
        <v>419</v>
      </c>
      <c r="D150" t="s">
        <v>435</v>
      </c>
      <c r="E150">
        <v>48.834947722300001</v>
      </c>
      <c r="F150">
        <v>2.3681263290599999</v>
      </c>
    </row>
    <row r="151" spans="1:6" x14ac:dyDescent="0.2">
      <c r="A151">
        <v>1500</v>
      </c>
      <c r="B151" t="s">
        <v>480</v>
      </c>
      <c r="C151" t="s">
        <v>419</v>
      </c>
      <c r="D151" t="s">
        <v>436</v>
      </c>
      <c r="E151">
        <v>48.837045119199999</v>
      </c>
      <c r="F151">
        <v>2.37282572183</v>
      </c>
    </row>
    <row r="152" spans="1:6" x14ac:dyDescent="0.2">
      <c r="A152">
        <v>1510</v>
      </c>
      <c r="B152" t="s">
        <v>482</v>
      </c>
      <c r="C152" t="s">
        <v>419</v>
      </c>
      <c r="D152" t="s">
        <v>437</v>
      </c>
      <c r="E152">
        <v>48.840388748099997</v>
      </c>
      <c r="F152">
        <v>2.3799112714500001</v>
      </c>
    </row>
    <row r="153" spans="1:6" x14ac:dyDescent="0.2">
      <c r="A153">
        <v>1520</v>
      </c>
      <c r="B153" t="s">
        <v>484</v>
      </c>
      <c r="C153" t="s">
        <v>419</v>
      </c>
      <c r="D153" t="s">
        <v>438</v>
      </c>
      <c r="E153">
        <v>48.839041143700001</v>
      </c>
      <c r="F153">
        <v>2.3896200113399999</v>
      </c>
    </row>
    <row r="154" spans="1:6" x14ac:dyDescent="0.2">
      <c r="A154">
        <v>1530</v>
      </c>
      <c r="B154" t="s">
        <v>486</v>
      </c>
      <c r="C154" t="s">
        <v>419</v>
      </c>
      <c r="D154" t="s">
        <v>808</v>
      </c>
      <c r="E154">
        <v>48.839549645600002</v>
      </c>
      <c r="F154">
        <v>2.3957032894400001</v>
      </c>
    </row>
    <row r="155" spans="1:6" x14ac:dyDescent="0.2">
      <c r="A155">
        <v>1540</v>
      </c>
      <c r="B155" t="s">
        <v>488</v>
      </c>
      <c r="C155" t="s">
        <v>419</v>
      </c>
      <c r="D155" t="s">
        <v>439</v>
      </c>
      <c r="E155">
        <v>48.841338250900002</v>
      </c>
      <c r="F155">
        <v>2.40091853812</v>
      </c>
    </row>
    <row r="156" spans="1:6" x14ac:dyDescent="0.2">
      <c r="A156">
        <v>1550</v>
      </c>
      <c r="B156" t="s">
        <v>490</v>
      </c>
      <c r="C156" t="s">
        <v>419</v>
      </c>
      <c r="D156" t="s">
        <v>440</v>
      </c>
      <c r="E156">
        <v>48.845061579899998</v>
      </c>
      <c r="F156">
        <v>2.4012890198300001</v>
      </c>
    </row>
    <row r="157" spans="1:6" x14ac:dyDescent="0.2">
      <c r="A157">
        <v>1560</v>
      </c>
      <c r="B157" t="s">
        <v>492</v>
      </c>
      <c r="C157" t="s">
        <v>419</v>
      </c>
      <c r="D157" t="s">
        <v>25</v>
      </c>
      <c r="E157">
        <v>48.847374878700002</v>
      </c>
      <c r="F157">
        <v>2.3954619948300002</v>
      </c>
    </row>
    <row r="158" spans="1:6" x14ac:dyDescent="0.2">
      <c r="A158">
        <v>1570</v>
      </c>
      <c r="B158" t="s">
        <v>569</v>
      </c>
      <c r="C158" t="s">
        <v>493</v>
      </c>
      <c r="D158" t="s">
        <v>494</v>
      </c>
      <c r="E158">
        <v>48.920785969900002</v>
      </c>
      <c r="F158">
        <v>2.41059861373</v>
      </c>
    </row>
    <row r="159" spans="1:6" x14ac:dyDescent="0.2">
      <c r="A159">
        <v>1580</v>
      </c>
      <c r="B159" t="s">
        <v>570</v>
      </c>
      <c r="C159" t="s">
        <v>493</v>
      </c>
      <c r="D159" t="s">
        <v>495</v>
      </c>
      <c r="E159">
        <v>48.914949756399999</v>
      </c>
      <c r="F159">
        <v>2.4044090874299999</v>
      </c>
    </row>
    <row r="160" spans="1:6" x14ac:dyDescent="0.2">
      <c r="A160">
        <v>1590</v>
      </c>
      <c r="B160" t="s">
        <v>572</v>
      </c>
      <c r="C160" t="s">
        <v>493</v>
      </c>
      <c r="D160" t="s">
        <v>496</v>
      </c>
      <c r="E160">
        <v>48.903759930200003</v>
      </c>
      <c r="F160">
        <v>2.3922870596400001</v>
      </c>
    </row>
    <row r="161" spans="1:6" x14ac:dyDescent="0.2">
      <c r="A161">
        <v>1600</v>
      </c>
      <c r="B161" t="s">
        <v>574</v>
      </c>
      <c r="C161" t="s">
        <v>493</v>
      </c>
      <c r="D161" t="s">
        <v>497</v>
      </c>
      <c r="E161">
        <v>48.897389890699998</v>
      </c>
      <c r="F161">
        <v>2.3855083876799998</v>
      </c>
    </row>
    <row r="162" spans="1:6" x14ac:dyDescent="0.2">
      <c r="A162">
        <v>1610</v>
      </c>
      <c r="B162" t="s">
        <v>576</v>
      </c>
      <c r="C162" t="s">
        <v>493</v>
      </c>
      <c r="D162" t="s">
        <v>498</v>
      </c>
      <c r="E162">
        <v>48.894836468400001</v>
      </c>
      <c r="F162">
        <v>2.3825223434199998</v>
      </c>
    </row>
    <row r="163" spans="1:6" x14ac:dyDescent="0.2">
      <c r="A163">
        <v>1620</v>
      </c>
      <c r="B163" t="s">
        <v>578</v>
      </c>
      <c r="C163" t="s">
        <v>493</v>
      </c>
      <c r="D163" t="s">
        <v>499</v>
      </c>
      <c r="E163">
        <v>48.890788969500001</v>
      </c>
      <c r="F163">
        <v>2.3773157556000002</v>
      </c>
    </row>
    <row r="164" spans="1:6" x14ac:dyDescent="0.2">
      <c r="A164">
        <v>1630</v>
      </c>
      <c r="B164" t="s">
        <v>580</v>
      </c>
      <c r="C164" t="s">
        <v>493</v>
      </c>
      <c r="D164" t="s">
        <v>500</v>
      </c>
      <c r="E164">
        <v>48.888267616999997</v>
      </c>
      <c r="F164">
        <v>2.3742040120399999</v>
      </c>
    </row>
    <row r="165" spans="1:6" x14ac:dyDescent="0.2">
      <c r="A165">
        <v>1640</v>
      </c>
      <c r="B165" t="s">
        <v>582</v>
      </c>
      <c r="C165" t="s">
        <v>493</v>
      </c>
      <c r="D165" t="s">
        <v>121</v>
      </c>
      <c r="E165">
        <v>48.884385145400003</v>
      </c>
      <c r="F165">
        <v>2.36939198436</v>
      </c>
    </row>
    <row r="166" spans="1:6" x14ac:dyDescent="0.2">
      <c r="A166">
        <v>1650</v>
      </c>
      <c r="B166" t="s">
        <v>584</v>
      </c>
      <c r="C166" t="s">
        <v>493</v>
      </c>
      <c r="D166" t="s">
        <v>501</v>
      </c>
      <c r="E166">
        <v>48.8812858119</v>
      </c>
      <c r="F166">
        <v>2.3655443191700001</v>
      </c>
    </row>
    <row r="167" spans="1:6" x14ac:dyDescent="0.2">
      <c r="A167">
        <v>1660</v>
      </c>
      <c r="B167" t="s">
        <v>586</v>
      </c>
      <c r="C167" t="s">
        <v>493</v>
      </c>
      <c r="D167" t="s">
        <v>502</v>
      </c>
      <c r="E167">
        <v>48.8785656258</v>
      </c>
      <c r="F167">
        <v>2.36216007192</v>
      </c>
    </row>
    <row r="168" spans="1:6" x14ac:dyDescent="0.2">
      <c r="A168">
        <v>1670</v>
      </c>
      <c r="B168" t="s">
        <v>588</v>
      </c>
      <c r="C168" t="s">
        <v>493</v>
      </c>
      <c r="D168" t="s">
        <v>311</v>
      </c>
      <c r="E168">
        <v>48.8762727035</v>
      </c>
      <c r="F168">
        <v>2.3580579043399998</v>
      </c>
    </row>
    <row r="169" spans="1:6" x14ac:dyDescent="0.2">
      <c r="A169">
        <v>1680</v>
      </c>
      <c r="B169" t="s">
        <v>590</v>
      </c>
      <c r="C169" t="s">
        <v>493</v>
      </c>
      <c r="D169" t="s">
        <v>503</v>
      </c>
      <c r="E169">
        <v>48.8772363191</v>
      </c>
      <c r="F169">
        <v>2.3492939024799999</v>
      </c>
    </row>
    <row r="170" spans="1:6" x14ac:dyDescent="0.2">
      <c r="A170">
        <v>1690</v>
      </c>
      <c r="B170" t="s">
        <v>592</v>
      </c>
      <c r="C170" t="s">
        <v>493</v>
      </c>
      <c r="D170" t="s">
        <v>504</v>
      </c>
      <c r="E170">
        <v>48.875890681900003</v>
      </c>
      <c r="F170">
        <v>2.34412603046</v>
      </c>
    </row>
    <row r="171" spans="1:6" x14ac:dyDescent="0.2">
      <c r="A171">
        <v>1700</v>
      </c>
      <c r="B171" t="s">
        <v>594</v>
      </c>
      <c r="C171" t="s">
        <v>493</v>
      </c>
      <c r="D171" t="s">
        <v>505</v>
      </c>
      <c r="E171">
        <v>48.874874343400002</v>
      </c>
      <c r="F171">
        <v>2.34019988439</v>
      </c>
    </row>
    <row r="172" spans="1:6" x14ac:dyDescent="0.2">
      <c r="A172">
        <v>1710</v>
      </c>
      <c r="B172" t="s">
        <v>596</v>
      </c>
      <c r="C172" t="s">
        <v>493</v>
      </c>
      <c r="D172" t="s">
        <v>506</v>
      </c>
      <c r="E172">
        <v>48.873109274299999</v>
      </c>
      <c r="F172">
        <v>2.33345121858</v>
      </c>
    </row>
    <row r="173" spans="1:6" x14ac:dyDescent="0.2">
      <c r="A173">
        <v>1720</v>
      </c>
      <c r="B173" t="s">
        <v>598</v>
      </c>
      <c r="C173" t="s">
        <v>493</v>
      </c>
      <c r="D173" t="s">
        <v>237</v>
      </c>
      <c r="E173">
        <v>48.870486703300003</v>
      </c>
      <c r="F173">
        <v>2.3324074064300002</v>
      </c>
    </row>
    <row r="174" spans="1:6" x14ac:dyDescent="0.2">
      <c r="A174">
        <v>1730</v>
      </c>
      <c r="B174" t="s">
        <v>600</v>
      </c>
      <c r="C174" t="s">
        <v>493</v>
      </c>
      <c r="D174" t="s">
        <v>507</v>
      </c>
      <c r="E174">
        <v>48.8659809205</v>
      </c>
      <c r="F174">
        <v>2.33433072438</v>
      </c>
    </row>
    <row r="175" spans="1:6" x14ac:dyDescent="0.2">
      <c r="A175">
        <v>1740</v>
      </c>
      <c r="B175" t="s">
        <v>602</v>
      </c>
      <c r="C175" t="s">
        <v>493</v>
      </c>
      <c r="D175" t="s">
        <v>97</v>
      </c>
      <c r="E175">
        <v>48.862829672799997</v>
      </c>
      <c r="F175">
        <v>2.3368783976</v>
      </c>
    </row>
    <row r="176" spans="1:6" x14ac:dyDescent="0.2">
      <c r="A176">
        <v>1750</v>
      </c>
      <c r="B176" t="s">
        <v>604</v>
      </c>
      <c r="C176" t="s">
        <v>493</v>
      </c>
      <c r="D176" t="s">
        <v>508</v>
      </c>
      <c r="E176">
        <v>48.858553826399998</v>
      </c>
      <c r="F176">
        <v>2.3422327593699999</v>
      </c>
    </row>
    <row r="177" spans="1:6" x14ac:dyDescent="0.2">
      <c r="A177">
        <v>1760</v>
      </c>
      <c r="B177" t="s">
        <v>606</v>
      </c>
      <c r="C177" t="s">
        <v>493</v>
      </c>
      <c r="D177" t="s">
        <v>20</v>
      </c>
      <c r="E177">
        <v>48.8570599663</v>
      </c>
      <c r="F177">
        <v>2.3477118799299999</v>
      </c>
    </row>
    <row r="178" spans="1:6" x14ac:dyDescent="0.2">
      <c r="A178">
        <v>1770</v>
      </c>
      <c r="B178" t="s">
        <v>608</v>
      </c>
      <c r="C178" t="s">
        <v>493</v>
      </c>
      <c r="D178" t="s">
        <v>509</v>
      </c>
      <c r="E178">
        <v>48.853575472499998</v>
      </c>
      <c r="F178">
        <v>2.35716257162</v>
      </c>
    </row>
    <row r="179" spans="1:6" x14ac:dyDescent="0.2">
      <c r="A179">
        <v>1780</v>
      </c>
      <c r="B179" t="s">
        <v>610</v>
      </c>
      <c r="C179" t="s">
        <v>493</v>
      </c>
      <c r="D179" t="s">
        <v>510</v>
      </c>
      <c r="E179">
        <v>48.851237680399997</v>
      </c>
      <c r="F179">
        <v>2.3619851409999999</v>
      </c>
    </row>
    <row r="180" spans="1:6" x14ac:dyDescent="0.2">
      <c r="A180">
        <v>1790</v>
      </c>
      <c r="B180" t="s">
        <v>612</v>
      </c>
      <c r="C180" t="s">
        <v>493</v>
      </c>
      <c r="D180" t="s">
        <v>511</v>
      </c>
      <c r="E180">
        <v>48.845950666599997</v>
      </c>
      <c r="F180">
        <v>2.3550502630599999</v>
      </c>
    </row>
    <row r="181" spans="1:6" x14ac:dyDescent="0.2">
      <c r="A181">
        <v>1800</v>
      </c>
      <c r="B181" t="s">
        <v>614</v>
      </c>
      <c r="C181" t="s">
        <v>493</v>
      </c>
      <c r="D181" t="s">
        <v>512</v>
      </c>
      <c r="E181">
        <v>48.842866830699997</v>
      </c>
      <c r="F181">
        <v>2.3522247281799999</v>
      </c>
    </row>
    <row r="182" spans="1:6" x14ac:dyDescent="0.2">
      <c r="A182">
        <v>1810</v>
      </c>
      <c r="B182" t="s">
        <v>616</v>
      </c>
      <c r="C182" t="s">
        <v>493</v>
      </c>
      <c r="D182" t="s">
        <v>513</v>
      </c>
      <c r="E182">
        <v>48.840486652599999</v>
      </c>
      <c r="F182">
        <v>2.3517394871700001</v>
      </c>
    </row>
    <row r="183" spans="1:6" x14ac:dyDescent="0.2">
      <c r="A183">
        <v>1820</v>
      </c>
      <c r="B183" t="s">
        <v>618</v>
      </c>
      <c r="C183" t="s">
        <v>493</v>
      </c>
      <c r="D183" t="s">
        <v>514</v>
      </c>
      <c r="E183">
        <v>48.835863484199997</v>
      </c>
      <c r="F183">
        <v>2.3525889256400001</v>
      </c>
    </row>
    <row r="184" spans="1:6" x14ac:dyDescent="0.2">
      <c r="A184">
        <v>1830</v>
      </c>
      <c r="B184" t="s">
        <v>620</v>
      </c>
      <c r="C184" t="s">
        <v>493</v>
      </c>
      <c r="D184" t="s">
        <v>418</v>
      </c>
      <c r="E184">
        <v>48.831433631000003</v>
      </c>
      <c r="F184">
        <v>2.3556436430200001</v>
      </c>
    </row>
    <row r="185" spans="1:6" x14ac:dyDescent="0.2">
      <c r="A185">
        <v>1840</v>
      </c>
      <c r="B185" t="s">
        <v>622</v>
      </c>
      <c r="C185" t="s">
        <v>493</v>
      </c>
      <c r="D185" t="s">
        <v>515</v>
      </c>
      <c r="E185">
        <v>48.826426010900001</v>
      </c>
      <c r="F185">
        <v>2.3572456507599999</v>
      </c>
    </row>
    <row r="186" spans="1:6" x14ac:dyDescent="0.2">
      <c r="A186">
        <v>1850</v>
      </c>
      <c r="B186" t="s">
        <v>624</v>
      </c>
      <c r="C186" t="s">
        <v>493</v>
      </c>
      <c r="D186" t="s">
        <v>516</v>
      </c>
      <c r="E186">
        <v>48.822437834600002</v>
      </c>
      <c r="F186">
        <v>2.3584738838499999</v>
      </c>
    </row>
    <row r="187" spans="1:6" x14ac:dyDescent="0.2">
      <c r="A187">
        <v>1860</v>
      </c>
      <c r="B187" t="s">
        <v>626</v>
      </c>
      <c r="C187" t="s">
        <v>493</v>
      </c>
      <c r="D187" t="s">
        <v>517</v>
      </c>
      <c r="E187">
        <v>48.819223349600001</v>
      </c>
      <c r="F187">
        <v>2.3597052167500001</v>
      </c>
    </row>
    <row r="188" spans="1:6" x14ac:dyDescent="0.2">
      <c r="A188">
        <v>1870</v>
      </c>
      <c r="B188" t="s">
        <v>628</v>
      </c>
      <c r="C188" t="s">
        <v>493</v>
      </c>
      <c r="D188" t="s">
        <v>518</v>
      </c>
      <c r="E188">
        <v>48.819876221000001</v>
      </c>
      <c r="F188">
        <v>2.3645319517500001</v>
      </c>
    </row>
    <row r="189" spans="1:6" x14ac:dyDescent="0.2">
      <c r="A189">
        <v>1880</v>
      </c>
      <c r="B189" t="s">
        <v>630</v>
      </c>
      <c r="C189" t="s">
        <v>493</v>
      </c>
      <c r="D189" t="s">
        <v>519</v>
      </c>
      <c r="E189">
        <v>48.821355783800001</v>
      </c>
      <c r="F189">
        <v>2.3692905873500001</v>
      </c>
    </row>
    <row r="190" spans="1:6" x14ac:dyDescent="0.2">
      <c r="A190">
        <v>1890</v>
      </c>
      <c r="B190" t="s">
        <v>632</v>
      </c>
      <c r="C190" t="s">
        <v>493</v>
      </c>
      <c r="D190" t="s">
        <v>520</v>
      </c>
      <c r="E190">
        <v>48.815930762999997</v>
      </c>
      <c r="F190">
        <v>2.3772672001499999</v>
      </c>
    </row>
    <row r="191" spans="1:6" x14ac:dyDescent="0.2">
      <c r="A191">
        <v>1900</v>
      </c>
      <c r="B191" t="s">
        <v>634</v>
      </c>
      <c r="C191" t="s">
        <v>493</v>
      </c>
      <c r="D191" t="s">
        <v>521</v>
      </c>
      <c r="E191">
        <v>48.811099197700003</v>
      </c>
      <c r="F191">
        <v>2.3835514796499999</v>
      </c>
    </row>
    <row r="192" spans="1:6" x14ac:dyDescent="0.2">
      <c r="A192">
        <v>1910</v>
      </c>
      <c r="B192" t="s">
        <v>635</v>
      </c>
      <c r="C192" t="s">
        <v>493</v>
      </c>
      <c r="D192" t="s">
        <v>522</v>
      </c>
      <c r="E192">
        <v>48.810129957299999</v>
      </c>
      <c r="F192">
        <v>2.3622633871300001</v>
      </c>
    </row>
    <row r="193" spans="1:6" x14ac:dyDescent="0.2">
      <c r="A193">
        <v>1920</v>
      </c>
      <c r="B193" t="s">
        <v>637</v>
      </c>
      <c r="C193" t="s">
        <v>493</v>
      </c>
      <c r="D193" t="s">
        <v>523</v>
      </c>
      <c r="E193">
        <v>48.804688120900003</v>
      </c>
      <c r="F193">
        <v>2.3639531965999998</v>
      </c>
    </row>
    <row r="194" spans="1:6" x14ac:dyDescent="0.2">
      <c r="A194">
        <v>1930</v>
      </c>
      <c r="B194" t="s">
        <v>639</v>
      </c>
      <c r="C194" t="s">
        <v>493</v>
      </c>
      <c r="D194" t="s">
        <v>524</v>
      </c>
      <c r="E194">
        <v>48.796483082800002</v>
      </c>
      <c r="F194">
        <v>2.3682695414300001</v>
      </c>
    </row>
    <row r="195" spans="1:6" x14ac:dyDescent="0.2">
      <c r="A195">
        <v>1940</v>
      </c>
      <c r="B195" t="s">
        <v>672</v>
      </c>
      <c r="C195" t="s">
        <v>493</v>
      </c>
      <c r="D195" t="s">
        <v>525</v>
      </c>
      <c r="E195">
        <v>48.787562792099997</v>
      </c>
      <c r="F195">
        <v>2.36780410698</v>
      </c>
    </row>
    <row r="196" spans="1:6" x14ac:dyDescent="0.2">
      <c r="A196">
        <v>1950</v>
      </c>
      <c r="B196" t="s">
        <v>676</v>
      </c>
      <c r="C196" t="s">
        <v>675</v>
      </c>
      <c r="D196" t="s">
        <v>501</v>
      </c>
      <c r="E196">
        <v>48.881404732199996</v>
      </c>
      <c r="F196">
        <v>2.3652187818499999</v>
      </c>
    </row>
    <row r="197" spans="1:6" x14ac:dyDescent="0.2">
      <c r="A197">
        <v>1960</v>
      </c>
      <c r="B197" t="s">
        <v>677</v>
      </c>
      <c r="C197" t="s">
        <v>675</v>
      </c>
      <c r="D197" t="s">
        <v>122</v>
      </c>
      <c r="E197">
        <v>48.882465245600002</v>
      </c>
      <c r="F197">
        <v>2.3701579617399999</v>
      </c>
    </row>
    <row r="198" spans="1:6" x14ac:dyDescent="0.2">
      <c r="A198">
        <v>1970</v>
      </c>
      <c r="B198" t="s">
        <v>678</v>
      </c>
      <c r="C198" t="s">
        <v>675</v>
      </c>
      <c r="D198" t="s">
        <v>769</v>
      </c>
      <c r="E198">
        <v>48.880821261400001</v>
      </c>
      <c r="F198">
        <v>2.3741471538400001</v>
      </c>
    </row>
    <row r="199" spans="1:6" x14ac:dyDescent="0.2">
      <c r="A199">
        <v>1980</v>
      </c>
      <c r="B199" t="s">
        <v>679</v>
      </c>
      <c r="C199" t="s">
        <v>675</v>
      </c>
      <c r="D199" t="s">
        <v>770</v>
      </c>
      <c r="E199">
        <v>48.878514113100003</v>
      </c>
      <c r="F199">
        <v>2.3816145119400001</v>
      </c>
    </row>
    <row r="200" spans="1:6" x14ac:dyDescent="0.2">
      <c r="A200">
        <v>1990</v>
      </c>
      <c r="B200" t="s">
        <v>680</v>
      </c>
      <c r="C200" t="s">
        <v>675</v>
      </c>
      <c r="D200" t="s">
        <v>771</v>
      </c>
      <c r="E200">
        <v>48.879481771899997</v>
      </c>
      <c r="F200">
        <v>2.3891158073800001</v>
      </c>
    </row>
    <row r="201" spans="1:6" x14ac:dyDescent="0.2">
      <c r="A201">
        <v>2000</v>
      </c>
      <c r="B201" t="s">
        <v>681</v>
      </c>
      <c r="C201" t="s">
        <v>675</v>
      </c>
      <c r="D201" t="s">
        <v>772</v>
      </c>
      <c r="E201">
        <v>48.881931998699997</v>
      </c>
      <c r="F201">
        <v>2.3934454564899998</v>
      </c>
    </row>
    <row r="202" spans="1:6" x14ac:dyDescent="0.2">
      <c r="A202">
        <v>2010</v>
      </c>
      <c r="B202" t="s">
        <v>682</v>
      </c>
      <c r="C202" t="s">
        <v>675</v>
      </c>
      <c r="D202" t="s">
        <v>773</v>
      </c>
      <c r="E202">
        <v>48.876949848099997</v>
      </c>
      <c r="F202">
        <v>2.39298396482</v>
      </c>
    </row>
    <row r="203" spans="1:6" x14ac:dyDescent="0.2">
      <c r="A203">
        <v>2020</v>
      </c>
      <c r="B203" t="s">
        <v>683</v>
      </c>
      <c r="C203" t="s">
        <v>675</v>
      </c>
      <c r="D203" t="s">
        <v>774</v>
      </c>
      <c r="E203">
        <v>48.879995794400003</v>
      </c>
      <c r="F203">
        <v>2.3989466624600002</v>
      </c>
    </row>
    <row r="204" spans="1:6" x14ac:dyDescent="0.2">
      <c r="A204">
        <v>2030</v>
      </c>
      <c r="B204" t="s">
        <v>684</v>
      </c>
      <c r="C204" t="s">
        <v>789</v>
      </c>
      <c r="D204" t="s">
        <v>790</v>
      </c>
      <c r="E204">
        <v>48.835930879199999</v>
      </c>
      <c r="F204">
        <v>2.2781616712799999</v>
      </c>
    </row>
    <row r="205" spans="1:6" x14ac:dyDescent="0.2">
      <c r="A205">
        <v>2040</v>
      </c>
      <c r="B205" t="s">
        <v>685</v>
      </c>
      <c r="C205" t="s">
        <v>789</v>
      </c>
      <c r="D205" t="s">
        <v>791</v>
      </c>
      <c r="E205">
        <v>48.838960939400003</v>
      </c>
      <c r="F205">
        <v>2.2827000272400002</v>
      </c>
    </row>
    <row r="206" spans="1:6" x14ac:dyDescent="0.2">
      <c r="A206">
        <v>2050</v>
      </c>
      <c r="B206" t="s">
        <v>686</v>
      </c>
      <c r="C206" t="s">
        <v>789</v>
      </c>
      <c r="D206" t="s">
        <v>792</v>
      </c>
      <c r="E206">
        <v>48.841094056300001</v>
      </c>
      <c r="F206">
        <v>2.2879457665</v>
      </c>
    </row>
    <row r="207" spans="1:6" x14ac:dyDescent="0.2">
      <c r="A207">
        <v>2060</v>
      </c>
      <c r="B207" t="s">
        <v>687</v>
      </c>
      <c r="C207" t="s">
        <v>789</v>
      </c>
      <c r="D207" t="s">
        <v>793</v>
      </c>
      <c r="E207">
        <v>48.842746779800002</v>
      </c>
      <c r="F207">
        <v>2.29191241332</v>
      </c>
    </row>
    <row r="208" spans="1:6" x14ac:dyDescent="0.2">
      <c r="A208">
        <v>2070</v>
      </c>
      <c r="B208" t="s">
        <v>688</v>
      </c>
      <c r="C208" t="s">
        <v>789</v>
      </c>
      <c r="D208" t="s">
        <v>794</v>
      </c>
      <c r="E208">
        <v>48.844794764600003</v>
      </c>
      <c r="F208">
        <v>2.2939519636400001</v>
      </c>
    </row>
    <row r="209" spans="1:6" x14ac:dyDescent="0.2">
      <c r="A209">
        <v>2080</v>
      </c>
      <c r="B209" t="s">
        <v>689</v>
      </c>
      <c r="C209" t="s">
        <v>789</v>
      </c>
      <c r="D209" t="s">
        <v>426</v>
      </c>
      <c r="E209">
        <v>48.849350553599997</v>
      </c>
      <c r="F209">
        <v>2.2983014017299999</v>
      </c>
    </row>
    <row r="210" spans="1:6" x14ac:dyDescent="0.2">
      <c r="A210">
        <v>2090</v>
      </c>
      <c r="B210" t="s">
        <v>690</v>
      </c>
      <c r="C210" t="s">
        <v>789</v>
      </c>
      <c r="D210" t="s">
        <v>795</v>
      </c>
      <c r="E210">
        <v>48.854682156899997</v>
      </c>
      <c r="F210">
        <v>2.3060974036999999</v>
      </c>
    </row>
    <row r="211" spans="1:6" x14ac:dyDescent="0.2">
      <c r="A211">
        <v>2100</v>
      </c>
      <c r="B211" t="s">
        <v>691</v>
      </c>
      <c r="C211" t="s">
        <v>789</v>
      </c>
      <c r="D211" t="s">
        <v>796</v>
      </c>
      <c r="E211">
        <v>48.857725412900002</v>
      </c>
      <c r="F211">
        <v>2.31056596095</v>
      </c>
    </row>
    <row r="212" spans="1:6" x14ac:dyDescent="0.2">
      <c r="A212">
        <v>2110</v>
      </c>
      <c r="B212" t="s">
        <v>692</v>
      </c>
      <c r="C212" t="s">
        <v>789</v>
      </c>
      <c r="D212" t="s">
        <v>797</v>
      </c>
      <c r="E212">
        <v>48.862325329100003</v>
      </c>
      <c r="F212">
        <v>2.3151384321899999</v>
      </c>
    </row>
    <row r="213" spans="1:6" x14ac:dyDescent="0.2">
      <c r="A213">
        <v>2120</v>
      </c>
      <c r="B213" t="s">
        <v>693</v>
      </c>
      <c r="C213" t="s">
        <v>789</v>
      </c>
      <c r="D213" t="s">
        <v>17</v>
      </c>
      <c r="E213">
        <v>48.866818369000001</v>
      </c>
      <c r="F213">
        <v>2.32208284869</v>
      </c>
    </row>
    <row r="214" spans="1:6" x14ac:dyDescent="0.2">
      <c r="A214">
        <v>2130</v>
      </c>
      <c r="B214" t="s">
        <v>694</v>
      </c>
      <c r="C214" t="s">
        <v>789</v>
      </c>
      <c r="D214" t="s">
        <v>798</v>
      </c>
      <c r="E214">
        <v>48.869633172999997</v>
      </c>
      <c r="F214">
        <v>2.3262722740299999</v>
      </c>
    </row>
    <row r="215" spans="1:6" x14ac:dyDescent="0.2">
      <c r="A215">
        <v>2140</v>
      </c>
      <c r="B215" t="s">
        <v>695</v>
      </c>
      <c r="C215" t="s">
        <v>789</v>
      </c>
      <c r="D215" t="s">
        <v>237</v>
      </c>
      <c r="E215">
        <v>48.870641732300001</v>
      </c>
      <c r="F215">
        <v>2.3321385995899999</v>
      </c>
    </row>
    <row r="216" spans="1:6" x14ac:dyDescent="0.2">
      <c r="A216">
        <v>2150</v>
      </c>
      <c r="B216" t="s">
        <v>696</v>
      </c>
      <c r="C216" t="s">
        <v>789</v>
      </c>
      <c r="D216" t="s">
        <v>799</v>
      </c>
      <c r="E216">
        <v>48.871786602100002</v>
      </c>
      <c r="F216">
        <v>2.3390305467200001</v>
      </c>
    </row>
    <row r="217" spans="1:6" x14ac:dyDescent="0.2">
      <c r="A217">
        <v>2160</v>
      </c>
      <c r="B217" t="s">
        <v>697</v>
      </c>
      <c r="C217" t="s">
        <v>789</v>
      </c>
      <c r="D217" t="s">
        <v>800</v>
      </c>
      <c r="E217">
        <v>48.871497739399999</v>
      </c>
      <c r="F217">
        <v>2.3431547730800002</v>
      </c>
    </row>
    <row r="218" spans="1:6" x14ac:dyDescent="0.2">
      <c r="A218">
        <v>2170</v>
      </c>
      <c r="B218" t="s">
        <v>698</v>
      </c>
      <c r="C218" t="s">
        <v>789</v>
      </c>
      <c r="D218" t="s">
        <v>801</v>
      </c>
      <c r="E218">
        <v>48.8701642009</v>
      </c>
      <c r="F218">
        <v>2.3504979718599999</v>
      </c>
    </row>
    <row r="219" spans="1:6" x14ac:dyDescent="0.2">
      <c r="A219">
        <v>2180</v>
      </c>
      <c r="B219" t="s">
        <v>699</v>
      </c>
      <c r="C219" t="s">
        <v>789</v>
      </c>
      <c r="D219" t="s">
        <v>313</v>
      </c>
      <c r="E219">
        <v>48.869224171699997</v>
      </c>
      <c r="F219">
        <v>2.3546037907000001</v>
      </c>
    </row>
    <row r="220" spans="1:6" x14ac:dyDescent="0.2">
      <c r="A220">
        <v>2190</v>
      </c>
      <c r="B220" t="s">
        <v>700</v>
      </c>
      <c r="C220" t="s">
        <v>789</v>
      </c>
      <c r="D220" t="s">
        <v>244</v>
      </c>
      <c r="E220">
        <v>48.867158725300001</v>
      </c>
      <c r="F220">
        <v>2.3639578365</v>
      </c>
    </row>
    <row r="221" spans="1:6" x14ac:dyDescent="0.2">
      <c r="A221">
        <v>2200</v>
      </c>
      <c r="B221" t="s">
        <v>701</v>
      </c>
      <c r="C221" t="s">
        <v>789</v>
      </c>
      <c r="D221" t="s">
        <v>802</v>
      </c>
      <c r="E221">
        <v>48.863257945000001</v>
      </c>
      <c r="F221">
        <v>2.36666109472</v>
      </c>
    </row>
    <row r="222" spans="1:6" x14ac:dyDescent="0.2">
      <c r="A222">
        <v>2210</v>
      </c>
      <c r="B222" t="s">
        <v>702</v>
      </c>
      <c r="C222" t="s">
        <v>789</v>
      </c>
      <c r="D222" t="s">
        <v>803</v>
      </c>
      <c r="E222">
        <v>48.861168865499998</v>
      </c>
      <c r="F222">
        <v>2.3672108664099998</v>
      </c>
    </row>
    <row r="223" spans="1:6" x14ac:dyDescent="0.2">
      <c r="A223">
        <v>2220</v>
      </c>
      <c r="B223" t="s">
        <v>703</v>
      </c>
      <c r="C223" t="s">
        <v>789</v>
      </c>
      <c r="D223" t="s">
        <v>804</v>
      </c>
      <c r="E223">
        <v>48.857420037499999</v>
      </c>
      <c r="F223">
        <v>2.3681082907</v>
      </c>
    </row>
    <row r="224" spans="1:6" x14ac:dyDescent="0.2">
      <c r="A224">
        <v>2230</v>
      </c>
      <c r="B224" t="s">
        <v>704</v>
      </c>
      <c r="C224" t="s">
        <v>789</v>
      </c>
      <c r="D224" t="s">
        <v>23</v>
      </c>
      <c r="E224">
        <v>48.853439427600001</v>
      </c>
      <c r="F224">
        <v>2.36951356952</v>
      </c>
    </row>
    <row r="225" spans="1:6" x14ac:dyDescent="0.2">
      <c r="A225">
        <v>2240</v>
      </c>
      <c r="B225" t="s">
        <v>705</v>
      </c>
      <c r="C225" t="s">
        <v>789</v>
      </c>
      <c r="D225" t="s">
        <v>805</v>
      </c>
      <c r="E225">
        <v>48.8512711264</v>
      </c>
      <c r="F225">
        <v>2.37611877334</v>
      </c>
    </row>
    <row r="226" spans="1:6" x14ac:dyDescent="0.2">
      <c r="A226">
        <v>2250</v>
      </c>
      <c r="B226" t="s">
        <v>706</v>
      </c>
      <c r="C226" t="s">
        <v>789</v>
      </c>
      <c r="D226" t="s">
        <v>806</v>
      </c>
      <c r="E226">
        <v>48.850177861900001</v>
      </c>
      <c r="F226">
        <v>2.3840922100699999</v>
      </c>
    </row>
    <row r="227" spans="1:6" x14ac:dyDescent="0.2">
      <c r="A227">
        <v>2260</v>
      </c>
      <c r="B227" t="s">
        <v>707</v>
      </c>
      <c r="C227" t="s">
        <v>789</v>
      </c>
      <c r="D227" t="s">
        <v>98</v>
      </c>
      <c r="E227">
        <v>48.847128721300002</v>
      </c>
      <c r="F227">
        <v>2.38702524211</v>
      </c>
    </row>
    <row r="228" spans="1:6" x14ac:dyDescent="0.2">
      <c r="A228">
        <v>2270</v>
      </c>
      <c r="B228" t="s">
        <v>708</v>
      </c>
      <c r="C228" t="s">
        <v>789</v>
      </c>
      <c r="D228" t="s">
        <v>807</v>
      </c>
      <c r="E228">
        <v>48.844408672100002</v>
      </c>
      <c r="F228">
        <v>2.39007511282</v>
      </c>
    </row>
    <row r="229" spans="1:6" x14ac:dyDescent="0.2">
      <c r="A229">
        <v>2280</v>
      </c>
      <c r="B229" t="s">
        <v>709</v>
      </c>
      <c r="C229" t="s">
        <v>789</v>
      </c>
      <c r="D229" t="s">
        <v>808</v>
      </c>
      <c r="E229">
        <v>48.839445428399998</v>
      </c>
      <c r="F229">
        <v>2.3961828864500001</v>
      </c>
    </row>
    <row r="230" spans="1:6" x14ac:dyDescent="0.2">
      <c r="A230">
        <v>2290</v>
      </c>
      <c r="B230" t="s">
        <v>710</v>
      </c>
      <c r="C230" t="s">
        <v>789</v>
      </c>
      <c r="D230" t="s">
        <v>809</v>
      </c>
      <c r="E230">
        <v>48.837117007000003</v>
      </c>
      <c r="F230">
        <v>2.40233316592</v>
      </c>
    </row>
    <row r="231" spans="1:6" x14ac:dyDescent="0.2">
      <c r="A231">
        <v>2300</v>
      </c>
      <c r="B231" t="s">
        <v>711</v>
      </c>
      <c r="C231" t="s">
        <v>789</v>
      </c>
      <c r="D231" t="s">
        <v>810</v>
      </c>
      <c r="E231">
        <v>48.834785158099997</v>
      </c>
      <c r="F231">
        <v>2.4053832106300002</v>
      </c>
    </row>
    <row r="232" spans="1:6" x14ac:dyDescent="0.2">
      <c r="A232">
        <v>2310</v>
      </c>
      <c r="B232" t="s">
        <v>712</v>
      </c>
      <c r="C232" t="s">
        <v>789</v>
      </c>
      <c r="D232" t="s">
        <v>811</v>
      </c>
      <c r="E232">
        <v>48.833162929499998</v>
      </c>
      <c r="F232">
        <v>2.4014480542199999</v>
      </c>
    </row>
    <row r="233" spans="1:6" x14ac:dyDescent="0.2">
      <c r="A233">
        <v>2320</v>
      </c>
      <c r="B233" t="s">
        <v>713</v>
      </c>
      <c r="C233" t="s">
        <v>789</v>
      </c>
      <c r="D233" t="s">
        <v>812</v>
      </c>
      <c r="E233">
        <v>48.826054996499998</v>
      </c>
      <c r="F233">
        <v>2.40674222593</v>
      </c>
    </row>
    <row r="234" spans="1:6" x14ac:dyDescent="0.2">
      <c r="A234">
        <v>2330</v>
      </c>
      <c r="B234" t="s">
        <v>714</v>
      </c>
      <c r="C234" t="s">
        <v>789</v>
      </c>
      <c r="D234" t="s">
        <v>813</v>
      </c>
      <c r="E234">
        <v>48.821595767300003</v>
      </c>
      <c r="F234">
        <v>2.41373751752</v>
      </c>
    </row>
    <row r="235" spans="1:6" x14ac:dyDescent="0.2">
      <c r="A235">
        <v>2340</v>
      </c>
      <c r="B235" t="s">
        <v>715</v>
      </c>
      <c r="C235" t="s">
        <v>789</v>
      </c>
      <c r="D235" t="s">
        <v>814</v>
      </c>
      <c r="E235">
        <v>48.814803007000002</v>
      </c>
      <c r="F235">
        <v>2.4223761428500001</v>
      </c>
    </row>
    <row r="236" spans="1:6" x14ac:dyDescent="0.2">
      <c r="A236">
        <v>2350</v>
      </c>
      <c r="B236" t="s">
        <v>716</v>
      </c>
      <c r="C236" t="s">
        <v>789</v>
      </c>
      <c r="D236" t="s">
        <v>815</v>
      </c>
      <c r="E236">
        <v>48.8091443609</v>
      </c>
      <c r="F236">
        <v>2.4345098959299998</v>
      </c>
    </row>
    <row r="237" spans="1:6" x14ac:dyDescent="0.2">
      <c r="A237">
        <v>2360</v>
      </c>
      <c r="B237" t="s">
        <v>717</v>
      </c>
      <c r="C237" t="s">
        <v>789</v>
      </c>
      <c r="D237" t="s">
        <v>816</v>
      </c>
      <c r="E237">
        <v>48.802637690700003</v>
      </c>
      <c r="F237">
        <v>2.4469274842400002</v>
      </c>
    </row>
    <row r="238" spans="1:6" x14ac:dyDescent="0.2">
      <c r="A238">
        <v>2370</v>
      </c>
      <c r="B238" t="s">
        <v>718</v>
      </c>
      <c r="C238" t="s">
        <v>789</v>
      </c>
      <c r="D238" t="s">
        <v>817</v>
      </c>
      <c r="E238">
        <v>48.796740766600003</v>
      </c>
      <c r="F238">
        <v>2.4494331756899999</v>
      </c>
    </row>
    <row r="239" spans="1:6" x14ac:dyDescent="0.2">
      <c r="A239">
        <v>2380</v>
      </c>
      <c r="B239" t="s">
        <v>719</v>
      </c>
      <c r="C239" t="s">
        <v>789</v>
      </c>
      <c r="D239" t="s">
        <v>818</v>
      </c>
      <c r="E239">
        <v>48.7899783103</v>
      </c>
      <c r="F239">
        <v>2.4504531779200001</v>
      </c>
    </row>
    <row r="240" spans="1:6" x14ac:dyDescent="0.2">
      <c r="A240">
        <v>2390</v>
      </c>
      <c r="B240" t="s">
        <v>720</v>
      </c>
      <c r="C240" t="s">
        <v>789</v>
      </c>
      <c r="D240" t="s">
        <v>819</v>
      </c>
      <c r="E240">
        <v>48.779905317000001</v>
      </c>
      <c r="F240">
        <v>2.4593683962599999</v>
      </c>
    </row>
    <row r="241" spans="1:6" x14ac:dyDescent="0.2">
      <c r="A241">
        <v>2400</v>
      </c>
      <c r="B241" t="s">
        <v>721</v>
      </c>
      <c r="C241" t="s">
        <v>789</v>
      </c>
      <c r="D241" t="s">
        <v>820</v>
      </c>
      <c r="E241">
        <v>48.768715125299998</v>
      </c>
      <c r="F241">
        <v>2.4645649932100002</v>
      </c>
    </row>
    <row r="242" spans="1:6" x14ac:dyDescent="0.2">
      <c r="A242">
        <v>2410</v>
      </c>
      <c r="B242" t="s">
        <v>722</v>
      </c>
      <c r="C242" t="s">
        <v>904</v>
      </c>
      <c r="D242" t="s">
        <v>895</v>
      </c>
      <c r="E242">
        <v>48.829674843799999</v>
      </c>
      <c r="F242">
        <v>2.2307995913199998</v>
      </c>
    </row>
    <row r="243" spans="1:6" x14ac:dyDescent="0.2">
      <c r="A243">
        <v>2420</v>
      </c>
      <c r="B243" t="s">
        <v>723</v>
      </c>
      <c r="C243" t="s">
        <v>904</v>
      </c>
      <c r="D243" t="s">
        <v>896</v>
      </c>
      <c r="E243">
        <v>48.832110560099999</v>
      </c>
      <c r="F243">
        <v>2.23863934858</v>
      </c>
    </row>
    <row r="244" spans="1:6" x14ac:dyDescent="0.2">
      <c r="A244">
        <v>2430</v>
      </c>
      <c r="B244" t="s">
        <v>724</v>
      </c>
      <c r="C244" t="s">
        <v>904</v>
      </c>
      <c r="D244" t="s">
        <v>897</v>
      </c>
      <c r="E244">
        <v>48.833708849099999</v>
      </c>
      <c r="F244">
        <v>2.2438405923800002</v>
      </c>
    </row>
    <row r="245" spans="1:6" x14ac:dyDescent="0.2">
      <c r="A245">
        <v>2440</v>
      </c>
      <c r="B245" t="s">
        <v>725</v>
      </c>
      <c r="C245" t="s">
        <v>904</v>
      </c>
      <c r="D245" t="s">
        <v>898</v>
      </c>
      <c r="E245">
        <v>48.837961213500002</v>
      </c>
      <c r="F245">
        <v>2.2571222298500002</v>
      </c>
    </row>
    <row r="246" spans="1:6" x14ac:dyDescent="0.2">
      <c r="A246">
        <v>2450</v>
      </c>
      <c r="B246" t="s">
        <v>726</v>
      </c>
      <c r="C246" t="s">
        <v>904</v>
      </c>
      <c r="D246" t="s">
        <v>899</v>
      </c>
      <c r="E246">
        <v>48.842938695900003</v>
      </c>
      <c r="F246">
        <v>2.2600329022099999</v>
      </c>
    </row>
    <row r="247" spans="1:6" x14ac:dyDescent="0.2">
      <c r="A247">
        <v>2460</v>
      </c>
      <c r="B247" t="s">
        <v>727</v>
      </c>
      <c r="C247" t="s">
        <v>904</v>
      </c>
      <c r="D247" t="s">
        <v>900</v>
      </c>
      <c r="E247">
        <v>48.8450581723</v>
      </c>
      <c r="F247">
        <v>2.26174512496</v>
      </c>
    </row>
    <row r="248" spans="1:6" x14ac:dyDescent="0.2">
      <c r="A248">
        <v>2470</v>
      </c>
      <c r="B248" t="s">
        <v>728</v>
      </c>
      <c r="C248" t="s">
        <v>904</v>
      </c>
      <c r="D248" t="s">
        <v>901</v>
      </c>
      <c r="E248">
        <v>48.847895650200002</v>
      </c>
      <c r="F248">
        <v>2.26408203075</v>
      </c>
    </row>
    <row r="249" spans="1:6" x14ac:dyDescent="0.2">
      <c r="A249">
        <v>2480</v>
      </c>
      <c r="B249" t="s">
        <v>729</v>
      </c>
      <c r="C249" t="s">
        <v>904</v>
      </c>
      <c r="D249" t="s">
        <v>902</v>
      </c>
      <c r="E249">
        <v>48.8525040906</v>
      </c>
      <c r="F249">
        <v>2.2681767494399998</v>
      </c>
    </row>
    <row r="250" spans="1:6" x14ac:dyDescent="0.2">
      <c r="A250">
        <v>2490</v>
      </c>
      <c r="B250" t="s">
        <v>730</v>
      </c>
      <c r="C250" t="s">
        <v>904</v>
      </c>
      <c r="D250" t="s">
        <v>903</v>
      </c>
      <c r="E250">
        <v>48.855485050399999</v>
      </c>
      <c r="F250">
        <v>2.2701091389400001</v>
      </c>
    </row>
    <row r="251" spans="1:6" x14ac:dyDescent="0.2">
      <c r="A251">
        <v>2500</v>
      </c>
      <c r="B251" t="s">
        <v>731</v>
      </c>
      <c r="C251" t="s">
        <v>904</v>
      </c>
      <c r="D251" t="s">
        <v>905</v>
      </c>
      <c r="E251">
        <v>48.858046056299997</v>
      </c>
      <c r="F251">
        <v>2.27415463109</v>
      </c>
    </row>
    <row r="252" spans="1:6" x14ac:dyDescent="0.2">
      <c r="A252">
        <v>2510</v>
      </c>
      <c r="B252" t="s">
        <v>732</v>
      </c>
      <c r="C252" t="s">
        <v>904</v>
      </c>
      <c r="D252" t="s">
        <v>906</v>
      </c>
      <c r="E252">
        <v>48.863974445799997</v>
      </c>
      <c r="F252">
        <v>2.2781125584500002</v>
      </c>
    </row>
    <row r="253" spans="1:6" x14ac:dyDescent="0.2">
      <c r="A253">
        <v>2520</v>
      </c>
      <c r="B253" t="s">
        <v>733</v>
      </c>
      <c r="C253" t="s">
        <v>904</v>
      </c>
      <c r="D253" t="s">
        <v>422</v>
      </c>
      <c r="E253">
        <v>48.863065020199997</v>
      </c>
      <c r="F253">
        <v>2.2862431706900002</v>
      </c>
    </row>
    <row r="254" spans="1:6" x14ac:dyDescent="0.2">
      <c r="A254">
        <v>2530</v>
      </c>
      <c r="B254" t="s">
        <v>734</v>
      </c>
      <c r="C254" t="s">
        <v>904</v>
      </c>
      <c r="D254" t="s">
        <v>907</v>
      </c>
      <c r="E254">
        <v>48.864794065799998</v>
      </c>
      <c r="F254">
        <v>2.2941620181100002</v>
      </c>
    </row>
    <row r="255" spans="1:6" x14ac:dyDescent="0.2">
      <c r="A255">
        <v>2540</v>
      </c>
      <c r="B255" t="s">
        <v>735</v>
      </c>
      <c r="C255" t="s">
        <v>904</v>
      </c>
      <c r="D255" t="s">
        <v>908</v>
      </c>
      <c r="E255">
        <v>48.864766844999998</v>
      </c>
      <c r="F255">
        <v>2.3009910035000001</v>
      </c>
    </row>
    <row r="256" spans="1:6" x14ac:dyDescent="0.2">
      <c r="A256">
        <v>2550</v>
      </c>
      <c r="B256" t="s">
        <v>736</v>
      </c>
      <c r="C256" t="s">
        <v>904</v>
      </c>
      <c r="D256" t="s">
        <v>16</v>
      </c>
      <c r="E256">
        <v>48.868699847400002</v>
      </c>
      <c r="F256">
        <v>2.3095051573399998</v>
      </c>
    </row>
    <row r="257" spans="1:6" x14ac:dyDescent="0.2">
      <c r="A257">
        <v>2560</v>
      </c>
      <c r="B257" t="s">
        <v>737</v>
      </c>
      <c r="C257" t="s">
        <v>904</v>
      </c>
      <c r="D257" t="s">
        <v>909</v>
      </c>
      <c r="E257">
        <v>48.872422383699998</v>
      </c>
      <c r="F257">
        <v>2.3100383446200001</v>
      </c>
    </row>
    <row r="258" spans="1:6" x14ac:dyDescent="0.2">
      <c r="A258">
        <v>2570</v>
      </c>
      <c r="B258" t="s">
        <v>738</v>
      </c>
      <c r="C258" t="s">
        <v>904</v>
      </c>
      <c r="D258" t="s">
        <v>910</v>
      </c>
      <c r="E258">
        <v>48.873709527700001</v>
      </c>
      <c r="F258">
        <v>2.3146063216199999</v>
      </c>
    </row>
    <row r="259" spans="1:6" x14ac:dyDescent="0.2">
      <c r="A259">
        <v>2580</v>
      </c>
      <c r="B259" t="s">
        <v>739</v>
      </c>
      <c r="C259" t="s">
        <v>904</v>
      </c>
      <c r="D259" t="s">
        <v>236</v>
      </c>
      <c r="E259">
        <v>48.873713406699999</v>
      </c>
      <c r="F259">
        <v>2.32769540963</v>
      </c>
    </row>
    <row r="260" spans="1:6" x14ac:dyDescent="0.2">
      <c r="A260">
        <v>2590</v>
      </c>
      <c r="B260" t="s">
        <v>740</v>
      </c>
      <c r="C260" t="s">
        <v>904</v>
      </c>
      <c r="D260" t="s">
        <v>911</v>
      </c>
      <c r="E260">
        <v>48.874558384700002</v>
      </c>
      <c r="F260">
        <v>2.3213619281</v>
      </c>
    </row>
    <row r="261" spans="1:6" x14ac:dyDescent="0.2">
      <c r="A261">
        <v>2600</v>
      </c>
      <c r="B261" t="s">
        <v>741</v>
      </c>
      <c r="C261" t="s">
        <v>904</v>
      </c>
      <c r="D261" t="s">
        <v>506</v>
      </c>
      <c r="E261">
        <v>48.8729376577</v>
      </c>
      <c r="F261">
        <v>2.3334791318499999</v>
      </c>
    </row>
    <row r="262" spans="1:6" x14ac:dyDescent="0.2">
      <c r="A262">
        <v>2610</v>
      </c>
      <c r="B262" t="s">
        <v>742</v>
      </c>
      <c r="C262" t="s">
        <v>904</v>
      </c>
      <c r="D262" t="s">
        <v>799</v>
      </c>
      <c r="E262">
        <v>48.872152352599997</v>
      </c>
      <c r="F262">
        <v>2.3391150392700002</v>
      </c>
    </row>
    <row r="263" spans="1:6" x14ac:dyDescent="0.2">
      <c r="A263">
        <v>2620</v>
      </c>
      <c r="B263" t="s">
        <v>743</v>
      </c>
      <c r="C263" t="s">
        <v>904</v>
      </c>
      <c r="D263" t="s">
        <v>800</v>
      </c>
      <c r="E263">
        <v>48.871497739399999</v>
      </c>
      <c r="F263">
        <v>2.3431547730800002</v>
      </c>
    </row>
    <row r="264" spans="1:6" x14ac:dyDescent="0.2">
      <c r="A264">
        <v>2630</v>
      </c>
      <c r="B264" t="s">
        <v>744</v>
      </c>
      <c r="C264" t="s">
        <v>904</v>
      </c>
      <c r="D264" t="s">
        <v>801</v>
      </c>
      <c r="E264">
        <v>48.8701642009</v>
      </c>
      <c r="F264">
        <v>2.3504979718599999</v>
      </c>
    </row>
    <row r="265" spans="1:6" x14ac:dyDescent="0.2">
      <c r="A265">
        <v>2640</v>
      </c>
      <c r="B265" t="s">
        <v>745</v>
      </c>
      <c r="C265" t="s">
        <v>904</v>
      </c>
      <c r="D265" t="s">
        <v>313</v>
      </c>
      <c r="E265">
        <v>48.869224171699997</v>
      </c>
      <c r="F265">
        <v>2.3546037907000001</v>
      </c>
    </row>
    <row r="266" spans="1:6" x14ac:dyDescent="0.2">
      <c r="A266">
        <v>2650</v>
      </c>
      <c r="B266" t="s">
        <v>746</v>
      </c>
      <c r="C266" t="s">
        <v>904</v>
      </c>
      <c r="D266" t="s">
        <v>244</v>
      </c>
      <c r="E266">
        <v>48.867111638600001</v>
      </c>
      <c r="F266">
        <v>2.3642349456499998</v>
      </c>
    </row>
    <row r="267" spans="1:6" x14ac:dyDescent="0.2">
      <c r="A267">
        <v>2660</v>
      </c>
      <c r="B267" t="s">
        <v>747</v>
      </c>
      <c r="C267" t="s">
        <v>904</v>
      </c>
      <c r="D267" t="s">
        <v>411</v>
      </c>
      <c r="E267">
        <v>48.864727620700002</v>
      </c>
      <c r="F267">
        <v>2.36849638711</v>
      </c>
    </row>
    <row r="268" spans="1:6" x14ac:dyDescent="0.2">
      <c r="A268">
        <v>2670</v>
      </c>
      <c r="B268" t="s">
        <v>748</v>
      </c>
      <c r="C268" t="s">
        <v>904</v>
      </c>
      <c r="D268" t="s">
        <v>912</v>
      </c>
      <c r="E268">
        <v>48.861019259899997</v>
      </c>
      <c r="F268">
        <v>2.3747334312800001</v>
      </c>
    </row>
    <row r="269" spans="1:6" x14ac:dyDescent="0.2">
      <c r="A269">
        <v>2680</v>
      </c>
      <c r="B269" t="s">
        <v>749</v>
      </c>
      <c r="C269" t="s">
        <v>904</v>
      </c>
      <c r="D269" t="s">
        <v>913</v>
      </c>
      <c r="E269">
        <v>48.857453722700001</v>
      </c>
      <c r="F269">
        <v>2.3807187858600001</v>
      </c>
    </row>
    <row r="270" spans="1:6" x14ac:dyDescent="0.2">
      <c r="A270">
        <v>2690</v>
      </c>
      <c r="B270" t="s">
        <v>750</v>
      </c>
      <c r="C270" t="s">
        <v>904</v>
      </c>
      <c r="D270" t="s">
        <v>914</v>
      </c>
      <c r="E270">
        <v>48.854580499100003</v>
      </c>
      <c r="F270">
        <v>2.3855634808200001</v>
      </c>
    </row>
    <row r="271" spans="1:6" x14ac:dyDescent="0.2">
      <c r="A271">
        <v>2700</v>
      </c>
      <c r="B271" t="s">
        <v>751</v>
      </c>
      <c r="C271" t="s">
        <v>904</v>
      </c>
      <c r="D271" t="s">
        <v>915</v>
      </c>
      <c r="E271">
        <v>48.852315427400001</v>
      </c>
      <c r="F271">
        <v>2.3893781279200001</v>
      </c>
    </row>
    <row r="272" spans="1:6" x14ac:dyDescent="0.2">
      <c r="A272">
        <v>2710</v>
      </c>
      <c r="B272" t="s">
        <v>752</v>
      </c>
      <c r="C272" t="s">
        <v>904</v>
      </c>
      <c r="D272" t="s">
        <v>25</v>
      </c>
      <c r="E272">
        <v>48.848944645099998</v>
      </c>
      <c r="F272">
        <v>2.3958794351899999</v>
      </c>
    </row>
    <row r="273" spans="1:6" x14ac:dyDescent="0.2">
      <c r="A273">
        <v>2720</v>
      </c>
      <c r="B273" t="s">
        <v>753</v>
      </c>
      <c r="C273" t="s">
        <v>904</v>
      </c>
      <c r="D273" t="s">
        <v>916</v>
      </c>
      <c r="E273">
        <v>48.851812133000003</v>
      </c>
      <c r="F273">
        <v>2.4010222705199999</v>
      </c>
    </row>
    <row r="274" spans="1:6" x14ac:dyDescent="0.2">
      <c r="A274">
        <v>2730</v>
      </c>
      <c r="B274" t="s">
        <v>754</v>
      </c>
      <c r="C274" t="s">
        <v>904</v>
      </c>
      <c r="D274" t="s">
        <v>917</v>
      </c>
      <c r="E274">
        <v>48.852725119299997</v>
      </c>
      <c r="F274">
        <v>2.4060891618800002</v>
      </c>
    </row>
    <row r="275" spans="1:6" x14ac:dyDescent="0.2">
      <c r="A275">
        <v>2740</v>
      </c>
      <c r="B275" t="s">
        <v>755</v>
      </c>
      <c r="C275" t="s">
        <v>904</v>
      </c>
      <c r="D275" t="s">
        <v>918</v>
      </c>
      <c r="E275">
        <v>48.853543916100001</v>
      </c>
      <c r="F275">
        <v>2.4106264257399999</v>
      </c>
    </row>
    <row r="276" spans="1:6" x14ac:dyDescent="0.2">
      <c r="A276">
        <v>2750</v>
      </c>
      <c r="B276" t="s">
        <v>756</v>
      </c>
      <c r="C276" t="s">
        <v>904</v>
      </c>
      <c r="D276" t="s">
        <v>919</v>
      </c>
      <c r="E276">
        <v>48.855726428600001</v>
      </c>
      <c r="F276">
        <v>2.42298321615</v>
      </c>
    </row>
    <row r="277" spans="1:6" x14ac:dyDescent="0.2">
      <c r="A277">
        <v>2760</v>
      </c>
      <c r="B277" t="s">
        <v>757</v>
      </c>
      <c r="C277" t="s">
        <v>904</v>
      </c>
      <c r="D277" t="s">
        <v>920</v>
      </c>
      <c r="E277">
        <v>48.857965591199999</v>
      </c>
      <c r="F277">
        <v>2.4355557156900001</v>
      </c>
    </row>
    <row r="278" spans="1:6" x14ac:dyDescent="0.2">
      <c r="A278">
        <v>2770</v>
      </c>
      <c r="B278" t="s">
        <v>758</v>
      </c>
      <c r="C278" t="s">
        <v>904</v>
      </c>
      <c r="D278" t="s">
        <v>921</v>
      </c>
      <c r="E278">
        <v>48.861936914099999</v>
      </c>
      <c r="F278">
        <v>2.4413109412499998</v>
      </c>
    </row>
    <row r="279" spans="1:6" x14ac:dyDescent="0.2">
      <c r="A279">
        <v>2780</v>
      </c>
      <c r="B279" t="s">
        <v>759</v>
      </c>
      <c r="C279" t="s">
        <v>1050</v>
      </c>
      <c r="D279" t="s">
        <v>1051</v>
      </c>
      <c r="E279">
        <v>48.8407450152</v>
      </c>
      <c r="F279">
        <v>2.2285369815</v>
      </c>
    </row>
    <row r="280" spans="1:6" x14ac:dyDescent="0.2">
      <c r="A280">
        <v>2790</v>
      </c>
      <c r="B280" t="s">
        <v>760</v>
      </c>
      <c r="C280" t="s">
        <v>1050</v>
      </c>
      <c r="D280" t="s">
        <v>1052</v>
      </c>
      <c r="E280">
        <v>48.842005347300002</v>
      </c>
      <c r="F280">
        <v>2.2388873257899999</v>
      </c>
    </row>
    <row r="281" spans="1:6" x14ac:dyDescent="0.2">
      <c r="A281">
        <v>2800</v>
      </c>
      <c r="B281" t="s">
        <v>761</v>
      </c>
      <c r="C281" t="s">
        <v>1050</v>
      </c>
      <c r="D281" t="s">
        <v>1053</v>
      </c>
      <c r="E281">
        <v>48.8479715406</v>
      </c>
      <c r="F281">
        <v>2.2577446803800001</v>
      </c>
    </row>
    <row r="282" spans="1:6" x14ac:dyDescent="0.2">
      <c r="A282">
        <v>2810</v>
      </c>
      <c r="B282" t="s">
        <v>762</v>
      </c>
      <c r="C282" t="s">
        <v>1050</v>
      </c>
      <c r="D282" t="s">
        <v>901</v>
      </c>
      <c r="E282">
        <v>48.847934807900003</v>
      </c>
      <c r="F282">
        <v>2.26421877705</v>
      </c>
    </row>
    <row r="283" spans="1:6" x14ac:dyDescent="0.2">
      <c r="A283">
        <v>2820</v>
      </c>
      <c r="B283" t="s">
        <v>763</v>
      </c>
      <c r="C283" t="s">
        <v>1050</v>
      </c>
      <c r="D283" t="s">
        <v>1054</v>
      </c>
      <c r="E283">
        <v>48.847150055699998</v>
      </c>
      <c r="F283">
        <v>2.2691358727300002</v>
      </c>
    </row>
    <row r="284" spans="1:6" x14ac:dyDescent="0.2">
      <c r="A284">
        <v>2830</v>
      </c>
      <c r="B284" t="s">
        <v>764</v>
      </c>
      <c r="C284" t="s">
        <v>1050</v>
      </c>
      <c r="D284" t="s">
        <v>900</v>
      </c>
      <c r="E284">
        <v>48.845247565500003</v>
      </c>
      <c r="F284">
        <v>2.2616234924</v>
      </c>
    </row>
    <row r="285" spans="1:6" x14ac:dyDescent="0.2">
      <c r="A285">
        <v>2840</v>
      </c>
      <c r="B285" t="s">
        <v>765</v>
      </c>
      <c r="C285" t="s">
        <v>1050</v>
      </c>
      <c r="D285" t="s">
        <v>1055</v>
      </c>
      <c r="E285">
        <v>48.845204703599997</v>
      </c>
      <c r="F285">
        <v>2.26644154308</v>
      </c>
    </row>
    <row r="286" spans="1:6" x14ac:dyDescent="0.2">
      <c r="A286">
        <v>2850</v>
      </c>
      <c r="B286" t="s">
        <v>766</v>
      </c>
      <c r="C286" t="s">
        <v>1050</v>
      </c>
      <c r="D286" t="s">
        <v>1056</v>
      </c>
      <c r="E286">
        <v>48.847131008200002</v>
      </c>
      <c r="F286">
        <v>2.27276375332</v>
      </c>
    </row>
    <row r="287" spans="1:6" x14ac:dyDescent="0.2">
      <c r="A287">
        <v>2860</v>
      </c>
      <c r="B287" t="s">
        <v>767</v>
      </c>
      <c r="C287" t="s">
        <v>1050</v>
      </c>
      <c r="D287" t="s">
        <v>1057</v>
      </c>
      <c r="E287">
        <v>48.846123666899999</v>
      </c>
      <c r="F287">
        <v>2.27771173983</v>
      </c>
    </row>
    <row r="288" spans="1:6" x14ac:dyDescent="0.2">
      <c r="A288">
        <v>2870</v>
      </c>
      <c r="B288" t="s">
        <v>768</v>
      </c>
      <c r="C288" t="s">
        <v>1050</v>
      </c>
      <c r="D288" t="s">
        <v>1058</v>
      </c>
      <c r="E288">
        <v>48.8465346367</v>
      </c>
      <c r="F288">
        <v>2.2859992234200002</v>
      </c>
    </row>
    <row r="289" spans="1:6" x14ac:dyDescent="0.2">
      <c r="A289">
        <v>2880</v>
      </c>
      <c r="B289" t="s">
        <v>1377</v>
      </c>
      <c r="C289" t="s">
        <v>1050</v>
      </c>
      <c r="D289" t="s">
        <v>1059</v>
      </c>
      <c r="E289">
        <v>48.8470195819</v>
      </c>
      <c r="F289">
        <v>2.29542047803</v>
      </c>
    </row>
    <row r="290" spans="1:6" x14ac:dyDescent="0.2">
      <c r="A290">
        <v>2890</v>
      </c>
      <c r="B290" t="s">
        <v>957</v>
      </c>
      <c r="C290" t="s">
        <v>1050</v>
      </c>
      <c r="D290" t="s">
        <v>426</v>
      </c>
      <c r="E290">
        <v>48.849350553599997</v>
      </c>
      <c r="F290">
        <v>2.2983014017299999</v>
      </c>
    </row>
    <row r="291" spans="1:6" x14ac:dyDescent="0.2">
      <c r="A291">
        <v>2900</v>
      </c>
      <c r="B291" t="s">
        <v>958</v>
      </c>
      <c r="C291" t="s">
        <v>1050</v>
      </c>
      <c r="D291" t="s">
        <v>1060</v>
      </c>
      <c r="E291">
        <v>48.847066133200002</v>
      </c>
      <c r="F291">
        <v>2.3074022406200001</v>
      </c>
    </row>
    <row r="292" spans="1:6" x14ac:dyDescent="0.2">
      <c r="A292">
        <v>2910</v>
      </c>
      <c r="B292" t="s">
        <v>959</v>
      </c>
      <c r="C292" t="s">
        <v>1050</v>
      </c>
      <c r="D292" t="s">
        <v>1061</v>
      </c>
      <c r="E292">
        <v>48.846989106099997</v>
      </c>
      <c r="F292">
        <v>2.3170052357399999</v>
      </c>
    </row>
    <row r="293" spans="1:6" x14ac:dyDescent="0.2">
      <c r="A293">
        <v>2920</v>
      </c>
      <c r="B293" t="s">
        <v>960</v>
      </c>
      <c r="C293" t="s">
        <v>1050</v>
      </c>
      <c r="D293" t="s">
        <v>1062</v>
      </c>
      <c r="E293">
        <v>48.848816372500004</v>
      </c>
      <c r="F293">
        <v>2.32125786291</v>
      </c>
    </row>
    <row r="294" spans="1:6" x14ac:dyDescent="0.2">
      <c r="A294">
        <v>2930</v>
      </c>
      <c r="B294" t="s">
        <v>961</v>
      </c>
      <c r="C294" t="s">
        <v>1050</v>
      </c>
      <c r="D294" t="s">
        <v>1178</v>
      </c>
      <c r="E294">
        <v>48.8511923493</v>
      </c>
      <c r="F294">
        <v>2.32648847397</v>
      </c>
    </row>
    <row r="295" spans="1:6" x14ac:dyDescent="0.2">
      <c r="A295">
        <v>2940</v>
      </c>
      <c r="B295" t="s">
        <v>962</v>
      </c>
      <c r="C295" t="s">
        <v>1050</v>
      </c>
      <c r="D295" t="s">
        <v>1063</v>
      </c>
      <c r="E295">
        <v>48.853016767900002</v>
      </c>
      <c r="F295">
        <v>2.3355020530899999</v>
      </c>
    </row>
    <row r="296" spans="1:6" x14ac:dyDescent="0.2">
      <c r="A296">
        <v>2950</v>
      </c>
      <c r="B296" t="s">
        <v>963</v>
      </c>
      <c r="C296" t="s">
        <v>1050</v>
      </c>
      <c r="D296" t="s">
        <v>318</v>
      </c>
      <c r="E296">
        <v>48.8521672611</v>
      </c>
      <c r="F296">
        <v>2.3396463359299999</v>
      </c>
    </row>
    <row r="297" spans="1:6" x14ac:dyDescent="0.2">
      <c r="A297">
        <v>2960</v>
      </c>
      <c r="B297" t="s">
        <v>964</v>
      </c>
      <c r="C297" t="s">
        <v>1050</v>
      </c>
      <c r="D297" t="s">
        <v>1064</v>
      </c>
      <c r="E297">
        <v>48.851050282300001</v>
      </c>
      <c r="F297">
        <v>2.34427334542</v>
      </c>
    </row>
    <row r="298" spans="1:6" x14ac:dyDescent="0.2">
      <c r="A298">
        <v>2970</v>
      </c>
      <c r="B298" t="s">
        <v>965</v>
      </c>
      <c r="C298" t="s">
        <v>1050</v>
      </c>
      <c r="D298" t="s">
        <v>1065</v>
      </c>
      <c r="E298">
        <v>48.850127323800002</v>
      </c>
      <c r="F298">
        <v>2.3480542904799999</v>
      </c>
    </row>
    <row r="299" spans="1:6" x14ac:dyDescent="0.2">
      <c r="A299">
        <v>2980</v>
      </c>
      <c r="B299" t="s">
        <v>966</v>
      </c>
      <c r="C299" t="s">
        <v>1050</v>
      </c>
      <c r="D299" t="s">
        <v>1066</v>
      </c>
      <c r="E299">
        <v>48.846656851299997</v>
      </c>
      <c r="F299">
        <v>2.3516232563799999</v>
      </c>
    </row>
    <row r="300" spans="1:6" x14ac:dyDescent="0.2">
      <c r="A300">
        <v>2990</v>
      </c>
      <c r="B300" t="s">
        <v>967</v>
      </c>
      <c r="C300" t="s">
        <v>1050</v>
      </c>
      <c r="D300" t="s">
        <v>511</v>
      </c>
      <c r="E300">
        <v>48.8461511231</v>
      </c>
      <c r="F300">
        <v>2.3549179837000001</v>
      </c>
    </row>
    <row r="301" spans="1:6" x14ac:dyDescent="0.2">
      <c r="A301">
        <v>3000</v>
      </c>
      <c r="B301" t="s">
        <v>968</v>
      </c>
      <c r="C301" t="s">
        <v>1050</v>
      </c>
      <c r="D301" t="s">
        <v>415</v>
      </c>
      <c r="E301">
        <v>48.842436796999998</v>
      </c>
      <c r="F301">
        <v>2.3651848119999999</v>
      </c>
    </row>
    <row r="302" spans="1:6" x14ac:dyDescent="0.2">
      <c r="A302">
        <v>3010</v>
      </c>
      <c r="B302" t="s">
        <v>969</v>
      </c>
      <c r="C302" t="s">
        <v>1086</v>
      </c>
      <c r="D302" t="s">
        <v>20</v>
      </c>
      <c r="E302">
        <v>48.8575563594</v>
      </c>
      <c r="F302">
        <v>2.3483088951300002</v>
      </c>
    </row>
    <row r="303" spans="1:6" x14ac:dyDescent="0.2">
      <c r="A303">
        <v>3020</v>
      </c>
      <c r="B303" t="s">
        <v>970</v>
      </c>
      <c r="C303" t="s">
        <v>1086</v>
      </c>
      <c r="D303" t="s">
        <v>1087</v>
      </c>
      <c r="E303">
        <v>48.857451832599999</v>
      </c>
      <c r="F303">
        <v>2.3510084613900002</v>
      </c>
    </row>
    <row r="304" spans="1:6" x14ac:dyDescent="0.2">
      <c r="A304">
        <v>3030</v>
      </c>
      <c r="B304" t="s">
        <v>971</v>
      </c>
      <c r="C304" t="s">
        <v>1086</v>
      </c>
      <c r="D304" t="s">
        <v>1088</v>
      </c>
      <c r="E304">
        <v>48.861204990300003</v>
      </c>
      <c r="F304">
        <v>2.3534957401300001</v>
      </c>
    </row>
    <row r="305" spans="1:6" x14ac:dyDescent="0.2">
      <c r="A305">
        <v>3040</v>
      </c>
      <c r="B305" t="s">
        <v>972</v>
      </c>
      <c r="C305" t="s">
        <v>1086</v>
      </c>
      <c r="D305" t="s">
        <v>242</v>
      </c>
      <c r="E305">
        <v>48.865322711700003</v>
      </c>
      <c r="F305">
        <v>2.35672986917</v>
      </c>
    </row>
    <row r="306" spans="1:6" x14ac:dyDescent="0.2">
      <c r="A306">
        <v>3050</v>
      </c>
      <c r="B306" t="s">
        <v>973</v>
      </c>
      <c r="C306" t="s">
        <v>1086</v>
      </c>
      <c r="D306" t="s">
        <v>244</v>
      </c>
      <c r="E306">
        <v>48.867503423800002</v>
      </c>
      <c r="F306">
        <v>2.3638261439799999</v>
      </c>
    </row>
    <row r="307" spans="1:6" x14ac:dyDescent="0.2">
      <c r="A307">
        <v>3060</v>
      </c>
      <c r="B307" t="s">
        <v>974</v>
      </c>
      <c r="C307" t="s">
        <v>1086</v>
      </c>
      <c r="D307" t="s">
        <v>1089</v>
      </c>
      <c r="E307">
        <v>48.869957512699997</v>
      </c>
      <c r="F307">
        <v>2.37109483973</v>
      </c>
    </row>
    <row r="308" spans="1:6" x14ac:dyDescent="0.2">
      <c r="A308">
        <v>3070</v>
      </c>
      <c r="B308" t="s">
        <v>975</v>
      </c>
      <c r="C308" t="s">
        <v>1086</v>
      </c>
      <c r="D308" t="s">
        <v>124</v>
      </c>
      <c r="E308">
        <v>48.871848793799998</v>
      </c>
      <c r="F308">
        <v>2.3765936827399998</v>
      </c>
    </row>
    <row r="309" spans="1:6" x14ac:dyDescent="0.2">
      <c r="A309">
        <v>3080</v>
      </c>
      <c r="B309" t="s">
        <v>976</v>
      </c>
      <c r="C309" t="s">
        <v>1086</v>
      </c>
      <c r="D309" t="s">
        <v>1090</v>
      </c>
      <c r="E309">
        <v>48.8738818542</v>
      </c>
      <c r="F309">
        <v>2.3853162151</v>
      </c>
    </row>
    <row r="310" spans="1:6" x14ac:dyDescent="0.2">
      <c r="A310">
        <v>3090</v>
      </c>
      <c r="B310" t="s">
        <v>977</v>
      </c>
      <c r="C310" t="s">
        <v>1086</v>
      </c>
      <c r="D310" t="s">
        <v>1091</v>
      </c>
      <c r="E310">
        <v>48.875111816999997</v>
      </c>
      <c r="F310">
        <v>2.3894150320400001</v>
      </c>
    </row>
    <row r="311" spans="1:6" x14ac:dyDescent="0.2">
      <c r="A311">
        <v>3100</v>
      </c>
      <c r="B311" t="s">
        <v>978</v>
      </c>
      <c r="C311" t="s">
        <v>1086</v>
      </c>
      <c r="D311" t="s">
        <v>773</v>
      </c>
      <c r="E311">
        <v>48.876806389199999</v>
      </c>
      <c r="F311">
        <v>2.3930560933199998</v>
      </c>
    </row>
    <row r="312" spans="1:6" x14ac:dyDescent="0.2">
      <c r="A312">
        <v>3110</v>
      </c>
      <c r="B312" t="s">
        <v>979</v>
      </c>
      <c r="C312" t="s">
        <v>1086</v>
      </c>
      <c r="D312" t="s">
        <v>1092</v>
      </c>
      <c r="E312">
        <v>48.875474456699997</v>
      </c>
      <c r="F312">
        <v>2.3988675938999999</v>
      </c>
    </row>
    <row r="313" spans="1:6" x14ac:dyDescent="0.2">
      <c r="A313">
        <v>3120</v>
      </c>
      <c r="B313" t="s">
        <v>980</v>
      </c>
      <c r="C313" t="s">
        <v>1086</v>
      </c>
      <c r="D313" t="s">
        <v>259</v>
      </c>
      <c r="E313">
        <v>48.877174819300002</v>
      </c>
      <c r="F313">
        <v>2.4064801569999998</v>
      </c>
    </row>
    <row r="314" spans="1:6" x14ac:dyDescent="0.2">
      <c r="A314">
        <v>3130</v>
      </c>
      <c r="B314" t="s">
        <v>981</v>
      </c>
      <c r="C314" t="s">
        <v>1086</v>
      </c>
      <c r="D314" t="s">
        <v>1093</v>
      </c>
      <c r="E314">
        <v>48.879761254000002</v>
      </c>
      <c r="F314">
        <v>2.4164796436699998</v>
      </c>
    </row>
    <row r="315" spans="1:6" x14ac:dyDescent="0.2">
      <c r="A315">
        <v>3140</v>
      </c>
      <c r="B315" t="s">
        <v>982</v>
      </c>
      <c r="C315" t="s">
        <v>1165</v>
      </c>
      <c r="D315" t="s">
        <v>1166</v>
      </c>
      <c r="E315">
        <v>48.906567146</v>
      </c>
      <c r="F315">
        <v>2.3659203193999998</v>
      </c>
    </row>
    <row r="316" spans="1:6" x14ac:dyDescent="0.2">
      <c r="A316">
        <v>3150</v>
      </c>
      <c r="B316" t="s">
        <v>983</v>
      </c>
      <c r="C316" t="s">
        <v>1165</v>
      </c>
      <c r="D316" t="s">
        <v>1167</v>
      </c>
      <c r="E316">
        <v>48.897245288100002</v>
      </c>
      <c r="F316">
        <v>2.3595078688200002</v>
      </c>
    </row>
    <row r="317" spans="1:6" x14ac:dyDescent="0.2">
      <c r="A317">
        <v>3160</v>
      </c>
      <c r="B317" t="s">
        <v>984</v>
      </c>
      <c r="C317" t="s">
        <v>1165</v>
      </c>
      <c r="D317" t="s">
        <v>1168</v>
      </c>
      <c r="E317">
        <v>48.890485453799997</v>
      </c>
      <c r="F317">
        <v>2.35999576641</v>
      </c>
    </row>
    <row r="318" spans="1:6" x14ac:dyDescent="0.2">
      <c r="A318">
        <v>3170</v>
      </c>
      <c r="B318" t="s">
        <v>985</v>
      </c>
      <c r="C318" t="s">
        <v>1165</v>
      </c>
      <c r="D318" t="s">
        <v>308</v>
      </c>
      <c r="E318">
        <v>48.891465000300002</v>
      </c>
      <c r="F318">
        <v>2.3498154518500001</v>
      </c>
    </row>
    <row r="319" spans="1:6" x14ac:dyDescent="0.2">
      <c r="A319">
        <v>3180</v>
      </c>
      <c r="B319" t="s">
        <v>986</v>
      </c>
      <c r="C319" t="s">
        <v>1165</v>
      </c>
      <c r="D319" t="s">
        <v>1169</v>
      </c>
      <c r="E319">
        <v>48.892439590499997</v>
      </c>
      <c r="F319">
        <v>2.3446570041300001</v>
      </c>
    </row>
    <row r="320" spans="1:6" x14ac:dyDescent="0.2">
      <c r="A320">
        <v>3190</v>
      </c>
      <c r="B320" t="s">
        <v>987</v>
      </c>
      <c r="C320" t="s">
        <v>1165</v>
      </c>
      <c r="D320" t="s">
        <v>1170</v>
      </c>
      <c r="E320">
        <v>48.889674071199998</v>
      </c>
      <c r="F320">
        <v>2.3387606492000002</v>
      </c>
    </row>
    <row r="321" spans="1:6" x14ac:dyDescent="0.2">
      <c r="A321">
        <v>3200</v>
      </c>
      <c r="B321" t="s">
        <v>988</v>
      </c>
      <c r="C321" t="s">
        <v>1165</v>
      </c>
      <c r="D321" t="s">
        <v>1171</v>
      </c>
      <c r="E321">
        <v>48.884594208000003</v>
      </c>
      <c r="F321">
        <v>2.33794977706</v>
      </c>
    </row>
    <row r="322" spans="1:6" x14ac:dyDescent="0.2">
      <c r="A322">
        <v>3210</v>
      </c>
      <c r="B322" t="s">
        <v>989</v>
      </c>
      <c r="C322" t="s">
        <v>1165</v>
      </c>
      <c r="D322" t="s">
        <v>117</v>
      </c>
      <c r="E322">
        <v>48.882519385599998</v>
      </c>
      <c r="F322">
        <v>2.33708168251</v>
      </c>
    </row>
    <row r="323" spans="1:6" x14ac:dyDescent="0.2">
      <c r="A323">
        <v>3220</v>
      </c>
      <c r="B323" t="s">
        <v>990</v>
      </c>
      <c r="C323" t="s">
        <v>1165</v>
      </c>
      <c r="D323" t="s">
        <v>1172</v>
      </c>
      <c r="E323">
        <v>48.8784252576</v>
      </c>
      <c r="F323">
        <v>2.3375950828200001</v>
      </c>
    </row>
    <row r="324" spans="1:6" x14ac:dyDescent="0.2">
      <c r="A324">
        <v>3230</v>
      </c>
      <c r="B324" t="s">
        <v>991</v>
      </c>
      <c r="C324" t="s">
        <v>1165</v>
      </c>
      <c r="D324" t="s">
        <v>1173</v>
      </c>
      <c r="E324">
        <v>48.876026211599999</v>
      </c>
      <c r="F324">
        <v>2.3378864890700002</v>
      </c>
    </row>
    <row r="325" spans="1:6" x14ac:dyDescent="0.2">
      <c r="A325">
        <v>3240</v>
      </c>
      <c r="B325" t="s">
        <v>992</v>
      </c>
      <c r="C325" t="s">
        <v>1165</v>
      </c>
      <c r="D325" t="s">
        <v>1174</v>
      </c>
      <c r="E325">
        <v>48.8763179623</v>
      </c>
      <c r="F325">
        <v>2.3325430272999998</v>
      </c>
    </row>
    <row r="326" spans="1:6" x14ac:dyDescent="0.2">
      <c r="A326">
        <v>3250</v>
      </c>
      <c r="B326" t="s">
        <v>993</v>
      </c>
      <c r="C326" t="s">
        <v>1165</v>
      </c>
      <c r="D326" t="s">
        <v>235</v>
      </c>
      <c r="E326">
        <v>48.875453770500002</v>
      </c>
      <c r="F326">
        <v>2.3267852002599998</v>
      </c>
    </row>
    <row r="327" spans="1:6" x14ac:dyDescent="0.2">
      <c r="A327">
        <v>3260</v>
      </c>
      <c r="B327" t="s">
        <v>994</v>
      </c>
      <c r="C327" t="s">
        <v>1165</v>
      </c>
      <c r="D327" t="s">
        <v>798</v>
      </c>
      <c r="E327">
        <v>48.8700997328</v>
      </c>
      <c r="F327">
        <v>2.3251641095400002</v>
      </c>
    </row>
    <row r="328" spans="1:6" x14ac:dyDescent="0.2">
      <c r="A328">
        <v>3270</v>
      </c>
      <c r="B328" t="s">
        <v>995</v>
      </c>
      <c r="C328" t="s">
        <v>1165</v>
      </c>
      <c r="D328" t="s">
        <v>17</v>
      </c>
      <c r="E328">
        <v>48.866167114900001</v>
      </c>
      <c r="F328">
        <v>2.3231756808599999</v>
      </c>
    </row>
    <row r="329" spans="1:6" x14ac:dyDescent="0.2">
      <c r="A329">
        <v>3280</v>
      </c>
      <c r="B329" t="s">
        <v>996</v>
      </c>
      <c r="C329" t="s">
        <v>1165</v>
      </c>
      <c r="D329" t="s">
        <v>1175</v>
      </c>
      <c r="E329">
        <v>48.860786963499997</v>
      </c>
      <c r="F329">
        <v>2.3209981919499998</v>
      </c>
    </row>
    <row r="330" spans="1:6" x14ac:dyDescent="0.2">
      <c r="A330">
        <v>3290</v>
      </c>
      <c r="B330" t="s">
        <v>997</v>
      </c>
      <c r="C330" t="s">
        <v>1165</v>
      </c>
      <c r="D330" t="s">
        <v>1176</v>
      </c>
      <c r="E330">
        <v>48.858511129900002</v>
      </c>
      <c r="F330">
        <v>2.3231548558399999</v>
      </c>
    </row>
    <row r="331" spans="1:6" x14ac:dyDescent="0.2">
      <c r="A331">
        <v>3300</v>
      </c>
      <c r="B331" t="s">
        <v>998</v>
      </c>
      <c r="C331" t="s">
        <v>1165</v>
      </c>
      <c r="D331" t="s">
        <v>1177</v>
      </c>
      <c r="E331">
        <v>48.855550940199997</v>
      </c>
      <c r="F331">
        <v>2.3257124221700001</v>
      </c>
    </row>
    <row r="332" spans="1:6" x14ac:dyDescent="0.2">
      <c r="A332">
        <v>3310</v>
      </c>
      <c r="B332" t="s">
        <v>999</v>
      </c>
      <c r="C332" t="s">
        <v>1165</v>
      </c>
      <c r="D332" t="s">
        <v>1178</v>
      </c>
      <c r="E332">
        <v>48.8517620525</v>
      </c>
      <c r="F332">
        <v>2.3268225688999999</v>
      </c>
    </row>
    <row r="333" spans="1:6" x14ac:dyDescent="0.2">
      <c r="A333">
        <v>3320</v>
      </c>
      <c r="B333" t="s">
        <v>1000</v>
      </c>
      <c r="C333" t="s">
        <v>1165</v>
      </c>
      <c r="D333" t="s">
        <v>1179</v>
      </c>
      <c r="E333">
        <v>48.848457848499997</v>
      </c>
      <c r="F333">
        <v>2.3277821271499999</v>
      </c>
    </row>
    <row r="334" spans="1:6" x14ac:dyDescent="0.2">
      <c r="A334">
        <v>3330</v>
      </c>
      <c r="B334" t="s">
        <v>1001</v>
      </c>
      <c r="C334" t="s">
        <v>1165</v>
      </c>
      <c r="D334" t="s">
        <v>1180</v>
      </c>
      <c r="E334">
        <v>48.8449426325</v>
      </c>
      <c r="F334">
        <v>2.3287780268999998</v>
      </c>
    </row>
    <row r="335" spans="1:6" x14ac:dyDescent="0.2">
      <c r="A335">
        <v>3340</v>
      </c>
      <c r="B335" t="s">
        <v>1002</v>
      </c>
      <c r="C335" t="s">
        <v>1165</v>
      </c>
      <c r="D335" t="s">
        <v>322</v>
      </c>
      <c r="E335">
        <v>48.843735489300002</v>
      </c>
      <c r="F335">
        <v>2.3243530411600002</v>
      </c>
    </row>
    <row r="336" spans="1:6" x14ac:dyDescent="0.2">
      <c r="A336">
        <v>3350</v>
      </c>
      <c r="B336" t="s">
        <v>1003</v>
      </c>
      <c r="C336" t="s">
        <v>1165</v>
      </c>
      <c r="D336" t="s">
        <v>1181</v>
      </c>
      <c r="E336">
        <v>48.8444701413</v>
      </c>
      <c r="F336">
        <v>2.3178527830400002</v>
      </c>
    </row>
    <row r="337" spans="1:6" x14ac:dyDescent="0.2">
      <c r="A337">
        <v>3360</v>
      </c>
      <c r="B337" t="s">
        <v>1004</v>
      </c>
      <c r="C337" t="s">
        <v>1165</v>
      </c>
      <c r="D337" t="s">
        <v>429</v>
      </c>
      <c r="E337">
        <v>48.842871275</v>
      </c>
      <c r="F337">
        <v>2.31244751307</v>
      </c>
    </row>
    <row r="338" spans="1:6" x14ac:dyDescent="0.2">
      <c r="A338">
        <v>3370</v>
      </c>
      <c r="B338" t="s">
        <v>1005</v>
      </c>
      <c r="C338" t="s">
        <v>1165</v>
      </c>
      <c r="D338" t="s">
        <v>1182</v>
      </c>
      <c r="E338">
        <v>48.841505522399999</v>
      </c>
      <c r="F338">
        <v>2.3079486793399999</v>
      </c>
    </row>
    <row r="339" spans="1:6" x14ac:dyDescent="0.2">
      <c r="A339">
        <v>3380</v>
      </c>
      <c r="B339" t="s">
        <v>1006</v>
      </c>
      <c r="C339" t="s">
        <v>1165</v>
      </c>
      <c r="D339" t="s">
        <v>1183</v>
      </c>
      <c r="E339">
        <v>48.839516585399998</v>
      </c>
      <c r="F339">
        <v>2.30110751488</v>
      </c>
    </row>
    <row r="340" spans="1:6" x14ac:dyDescent="0.2">
      <c r="A340">
        <v>3390</v>
      </c>
      <c r="B340" t="s">
        <v>1007</v>
      </c>
      <c r="C340" t="s">
        <v>1165</v>
      </c>
      <c r="D340" t="s">
        <v>1184</v>
      </c>
      <c r="E340">
        <v>48.837307494599997</v>
      </c>
      <c r="F340">
        <v>2.2966303432299999</v>
      </c>
    </row>
    <row r="341" spans="1:6" x14ac:dyDescent="0.2">
      <c r="A341">
        <v>3400</v>
      </c>
      <c r="B341" t="s">
        <v>1008</v>
      </c>
      <c r="C341" t="s">
        <v>1165</v>
      </c>
      <c r="D341" t="s">
        <v>1185</v>
      </c>
      <c r="E341">
        <v>48.832449099100003</v>
      </c>
      <c r="F341">
        <v>2.2880221410999999</v>
      </c>
    </row>
    <row r="342" spans="1:6" x14ac:dyDescent="0.2">
      <c r="A342">
        <v>3410</v>
      </c>
      <c r="B342" t="s">
        <v>1009</v>
      </c>
      <c r="C342" t="s">
        <v>1165</v>
      </c>
      <c r="D342" t="s">
        <v>1186</v>
      </c>
      <c r="E342">
        <v>48.8270854489</v>
      </c>
      <c r="F342">
        <v>2.2794116820500001</v>
      </c>
    </row>
    <row r="343" spans="1:6" x14ac:dyDescent="0.2">
      <c r="A343">
        <v>3420</v>
      </c>
      <c r="B343" t="s">
        <v>1010</v>
      </c>
      <c r="C343" t="s">
        <v>1165</v>
      </c>
      <c r="D343" t="s">
        <v>1187</v>
      </c>
      <c r="E343">
        <v>48.824105030699997</v>
      </c>
      <c r="F343">
        <v>2.27304152514</v>
      </c>
    </row>
    <row r="344" spans="1:6" x14ac:dyDescent="0.2">
      <c r="A344">
        <v>3430</v>
      </c>
      <c r="B344" t="s">
        <v>1011</v>
      </c>
      <c r="C344" t="s">
        <v>1237</v>
      </c>
      <c r="D344" t="s">
        <v>1216</v>
      </c>
      <c r="E344">
        <v>48.9458456578</v>
      </c>
      <c r="F344">
        <v>2.3645417634900001</v>
      </c>
    </row>
    <row r="345" spans="1:6" x14ac:dyDescent="0.2">
      <c r="A345">
        <v>3440</v>
      </c>
      <c r="B345" t="s">
        <v>1012</v>
      </c>
      <c r="C345" t="s">
        <v>1237</v>
      </c>
      <c r="D345" t="s">
        <v>1217</v>
      </c>
      <c r="E345">
        <v>48.936526852599997</v>
      </c>
      <c r="F345">
        <v>2.3593982610299999</v>
      </c>
    </row>
    <row r="346" spans="1:6" x14ac:dyDescent="0.2">
      <c r="A346">
        <v>3450</v>
      </c>
      <c r="B346" t="s">
        <v>1013</v>
      </c>
      <c r="C346" t="s">
        <v>1237</v>
      </c>
      <c r="D346" t="s">
        <v>2029</v>
      </c>
      <c r="E346">
        <v>48.929935889699998</v>
      </c>
      <c r="F346">
        <v>2.3560357941699999</v>
      </c>
    </row>
    <row r="347" spans="1:6" x14ac:dyDescent="0.2">
      <c r="A347">
        <v>3460</v>
      </c>
      <c r="B347" t="s">
        <v>1014</v>
      </c>
      <c r="C347" t="s">
        <v>1237</v>
      </c>
      <c r="D347" t="s">
        <v>1218</v>
      </c>
      <c r="E347">
        <v>48.919573074100001</v>
      </c>
      <c r="F347">
        <v>2.3433059305100001</v>
      </c>
    </row>
    <row r="348" spans="1:6" x14ac:dyDescent="0.2">
      <c r="A348">
        <v>3470</v>
      </c>
      <c r="B348" t="s">
        <v>1015</v>
      </c>
      <c r="C348" t="s">
        <v>1237</v>
      </c>
      <c r="D348" t="s">
        <v>1219</v>
      </c>
      <c r="E348">
        <v>48.911964897899999</v>
      </c>
      <c r="F348">
        <v>2.3339248904800001</v>
      </c>
    </row>
    <row r="349" spans="1:6" x14ac:dyDescent="0.2">
      <c r="A349">
        <v>3480</v>
      </c>
      <c r="B349" t="s">
        <v>1016</v>
      </c>
      <c r="C349" t="s">
        <v>1237</v>
      </c>
      <c r="D349" t="s">
        <v>1220</v>
      </c>
      <c r="E349">
        <v>48.906094050199997</v>
      </c>
      <c r="F349">
        <v>2.3318308379600001</v>
      </c>
    </row>
    <row r="350" spans="1:6" x14ac:dyDescent="0.2">
      <c r="A350">
        <v>3490</v>
      </c>
      <c r="B350" t="s">
        <v>1017</v>
      </c>
      <c r="C350" t="s">
        <v>1237</v>
      </c>
      <c r="D350" t="s">
        <v>1221</v>
      </c>
      <c r="E350">
        <v>48.897374795499999</v>
      </c>
      <c r="F350">
        <v>2.3289428127799998</v>
      </c>
    </row>
    <row r="351" spans="1:6" x14ac:dyDescent="0.2">
      <c r="A351">
        <v>3500</v>
      </c>
      <c r="B351" t="s">
        <v>1018</v>
      </c>
      <c r="C351" t="s">
        <v>1237</v>
      </c>
      <c r="D351" t="s">
        <v>1222</v>
      </c>
      <c r="E351">
        <v>48.892828853399998</v>
      </c>
      <c r="F351">
        <v>2.3274284585</v>
      </c>
    </row>
    <row r="352" spans="1:6" x14ac:dyDescent="0.2">
      <c r="A352">
        <v>3510</v>
      </c>
      <c r="B352" t="s">
        <v>1361</v>
      </c>
      <c r="C352" t="s">
        <v>1237</v>
      </c>
      <c r="D352" t="s">
        <v>1359</v>
      </c>
      <c r="E352">
        <v>48.9231037797</v>
      </c>
      <c r="F352">
        <v>2.2862795775300002</v>
      </c>
    </row>
    <row r="353" spans="1:6" x14ac:dyDescent="0.2">
      <c r="A353">
        <v>3520</v>
      </c>
      <c r="B353" t="s">
        <v>1362</v>
      </c>
      <c r="C353" t="s">
        <v>1237</v>
      </c>
      <c r="D353" t="s">
        <v>1360</v>
      </c>
      <c r="E353">
        <v>48.930757003300002</v>
      </c>
      <c r="F353">
        <v>2.2841744482799999</v>
      </c>
    </row>
    <row r="354" spans="1:6" x14ac:dyDescent="0.2">
      <c r="A354">
        <v>3530</v>
      </c>
      <c r="B354" t="s">
        <v>1019</v>
      </c>
      <c r="C354" t="s">
        <v>1237</v>
      </c>
      <c r="D354" t="s">
        <v>1358</v>
      </c>
      <c r="E354">
        <v>48.916382309900001</v>
      </c>
      <c r="F354">
        <v>2.2946851116999998</v>
      </c>
    </row>
    <row r="355" spans="1:6" x14ac:dyDescent="0.2">
      <c r="A355">
        <v>3540</v>
      </c>
      <c r="B355" t="s">
        <v>1020</v>
      </c>
      <c r="C355" t="s">
        <v>1237</v>
      </c>
      <c r="D355" t="s">
        <v>1223</v>
      </c>
      <c r="E355">
        <v>48.903330094600001</v>
      </c>
      <c r="F355">
        <v>2.3059241498700001</v>
      </c>
    </row>
    <row r="356" spans="1:6" x14ac:dyDescent="0.2">
      <c r="A356">
        <v>3550</v>
      </c>
      <c r="B356" t="s">
        <v>1021</v>
      </c>
      <c r="C356" t="s">
        <v>1237</v>
      </c>
      <c r="D356" t="s">
        <v>1224</v>
      </c>
      <c r="E356">
        <v>48.894252262199998</v>
      </c>
      <c r="F356">
        <v>2.31377215877</v>
      </c>
    </row>
    <row r="357" spans="1:6" x14ac:dyDescent="0.2">
      <c r="A357">
        <v>3560</v>
      </c>
      <c r="B357" t="s">
        <v>1022</v>
      </c>
      <c r="C357" t="s">
        <v>1237</v>
      </c>
      <c r="D357" t="s">
        <v>1225</v>
      </c>
      <c r="E357">
        <v>48.890587186600001</v>
      </c>
      <c r="F357">
        <v>2.3201747557900001</v>
      </c>
    </row>
    <row r="358" spans="1:6" x14ac:dyDescent="0.2">
      <c r="A358">
        <v>3570</v>
      </c>
      <c r="B358" t="s">
        <v>1023</v>
      </c>
      <c r="C358" t="s">
        <v>1237</v>
      </c>
      <c r="D358" t="s">
        <v>1226</v>
      </c>
      <c r="E358">
        <v>48.887183946900002</v>
      </c>
      <c r="F358">
        <v>2.3257796748100001</v>
      </c>
    </row>
    <row r="359" spans="1:6" x14ac:dyDescent="0.2">
      <c r="A359">
        <v>3580</v>
      </c>
      <c r="B359" t="s">
        <v>1024</v>
      </c>
      <c r="C359" t="s">
        <v>1237</v>
      </c>
      <c r="D359" t="s">
        <v>115</v>
      </c>
      <c r="E359">
        <v>48.883804527999999</v>
      </c>
      <c r="F359">
        <v>2.3272434119500001</v>
      </c>
    </row>
    <row r="360" spans="1:6" x14ac:dyDescent="0.2">
      <c r="A360">
        <v>3590</v>
      </c>
      <c r="B360" t="s">
        <v>1025</v>
      </c>
      <c r="C360" t="s">
        <v>1237</v>
      </c>
      <c r="D360" t="s">
        <v>1227</v>
      </c>
      <c r="E360">
        <v>48.8796347607</v>
      </c>
      <c r="F360">
        <v>2.3270222008900001</v>
      </c>
    </row>
    <row r="361" spans="1:6" x14ac:dyDescent="0.2">
      <c r="A361">
        <v>3600</v>
      </c>
      <c r="B361" t="s">
        <v>1026</v>
      </c>
      <c r="C361" t="s">
        <v>1237</v>
      </c>
      <c r="D361" t="s">
        <v>235</v>
      </c>
      <c r="E361">
        <v>48.875354957699997</v>
      </c>
      <c r="F361">
        <v>2.3248182850600001</v>
      </c>
    </row>
    <row r="362" spans="1:6" x14ac:dyDescent="0.2">
      <c r="A362">
        <v>3610</v>
      </c>
      <c r="B362" t="s">
        <v>1027</v>
      </c>
      <c r="C362" t="s">
        <v>1237</v>
      </c>
      <c r="D362" t="s">
        <v>910</v>
      </c>
      <c r="E362">
        <v>48.873769988699998</v>
      </c>
      <c r="F362">
        <v>2.3144560361900002</v>
      </c>
    </row>
    <row r="363" spans="1:6" x14ac:dyDescent="0.2">
      <c r="A363">
        <v>3620</v>
      </c>
      <c r="B363" t="s">
        <v>1028</v>
      </c>
      <c r="C363" t="s">
        <v>1237</v>
      </c>
      <c r="D363" t="s">
        <v>95</v>
      </c>
      <c r="E363">
        <v>48.867602145200003</v>
      </c>
      <c r="F363">
        <v>2.3138941291199999</v>
      </c>
    </row>
    <row r="364" spans="1:6" x14ac:dyDescent="0.2">
      <c r="A364">
        <v>3630</v>
      </c>
      <c r="B364" t="s">
        <v>1029</v>
      </c>
      <c r="C364" t="s">
        <v>1237</v>
      </c>
      <c r="D364" t="s">
        <v>797</v>
      </c>
      <c r="E364">
        <v>48.862364704100003</v>
      </c>
      <c r="F364">
        <v>2.3139095777900001</v>
      </c>
    </row>
    <row r="365" spans="1:6" x14ac:dyDescent="0.2">
      <c r="A365">
        <v>3640</v>
      </c>
      <c r="B365" t="s">
        <v>1030</v>
      </c>
      <c r="C365" t="s">
        <v>1237</v>
      </c>
      <c r="D365" t="s">
        <v>1228</v>
      </c>
      <c r="E365">
        <v>48.856871379200001</v>
      </c>
      <c r="F365">
        <v>2.3150566373200001</v>
      </c>
    </row>
    <row r="366" spans="1:6" x14ac:dyDescent="0.2">
      <c r="A366">
        <v>3650</v>
      </c>
      <c r="B366" t="s">
        <v>1031</v>
      </c>
      <c r="C366" t="s">
        <v>1237</v>
      </c>
      <c r="D366" t="s">
        <v>1229</v>
      </c>
      <c r="E366">
        <v>48.851441705600003</v>
      </c>
      <c r="F366">
        <v>2.3144081215000001</v>
      </c>
    </row>
    <row r="367" spans="1:6" x14ac:dyDescent="0.2">
      <c r="A367">
        <v>3660</v>
      </c>
      <c r="B367" t="s">
        <v>1032</v>
      </c>
      <c r="C367" t="s">
        <v>1237</v>
      </c>
      <c r="D367" t="s">
        <v>1061</v>
      </c>
      <c r="E367">
        <v>48.847052554500003</v>
      </c>
      <c r="F367">
        <v>2.3164243520599999</v>
      </c>
    </row>
    <row r="368" spans="1:6" x14ac:dyDescent="0.2">
      <c r="A368">
        <v>3670</v>
      </c>
      <c r="B368" t="s">
        <v>1033</v>
      </c>
      <c r="C368" t="s">
        <v>1237</v>
      </c>
      <c r="D368" t="s">
        <v>322</v>
      </c>
      <c r="E368">
        <v>48.8423274377</v>
      </c>
      <c r="F368">
        <v>2.32098483563</v>
      </c>
    </row>
    <row r="369" spans="1:6" x14ac:dyDescent="0.2">
      <c r="A369">
        <v>3680</v>
      </c>
      <c r="B369" t="s">
        <v>1034</v>
      </c>
      <c r="C369" t="s">
        <v>1237</v>
      </c>
      <c r="D369" t="s">
        <v>1230</v>
      </c>
      <c r="E369">
        <v>48.8386316462</v>
      </c>
      <c r="F369">
        <v>2.3224917498200002</v>
      </c>
    </row>
    <row r="370" spans="1:6" x14ac:dyDescent="0.2">
      <c r="A370">
        <v>3690</v>
      </c>
      <c r="B370" t="s">
        <v>1035</v>
      </c>
      <c r="C370" t="s">
        <v>1237</v>
      </c>
      <c r="D370" t="s">
        <v>1231</v>
      </c>
      <c r="E370">
        <v>48.833936392699997</v>
      </c>
      <c r="F370">
        <v>2.3180782854899999</v>
      </c>
    </row>
    <row r="371" spans="1:6" x14ac:dyDescent="0.2">
      <c r="A371">
        <v>3700</v>
      </c>
      <c r="B371" t="s">
        <v>1036</v>
      </c>
      <c r="C371" t="s">
        <v>1237</v>
      </c>
      <c r="D371" t="s">
        <v>1232</v>
      </c>
      <c r="E371">
        <v>48.831825649599999</v>
      </c>
      <c r="F371">
        <v>2.3141223234699999</v>
      </c>
    </row>
    <row r="372" spans="1:6" x14ac:dyDescent="0.2">
      <c r="A372">
        <v>3710</v>
      </c>
      <c r="B372" t="s">
        <v>1037</v>
      </c>
      <c r="C372" t="s">
        <v>1237</v>
      </c>
      <c r="D372" t="s">
        <v>1233</v>
      </c>
      <c r="E372">
        <v>48.827795543500002</v>
      </c>
      <c r="F372">
        <v>2.3055346696500001</v>
      </c>
    </row>
    <row r="373" spans="1:6" x14ac:dyDescent="0.2">
      <c r="A373">
        <v>3720</v>
      </c>
      <c r="B373" t="s">
        <v>1038</v>
      </c>
      <c r="C373" t="s">
        <v>1237</v>
      </c>
      <c r="D373" t="s">
        <v>1234</v>
      </c>
      <c r="E373">
        <v>48.822583706800003</v>
      </c>
      <c r="F373">
        <v>2.29846419197</v>
      </c>
    </row>
    <row r="374" spans="1:6" x14ac:dyDescent="0.2">
      <c r="A374">
        <v>3730</v>
      </c>
      <c r="B374" t="s">
        <v>1039</v>
      </c>
      <c r="C374" t="s">
        <v>1237</v>
      </c>
      <c r="D374" t="s">
        <v>1235</v>
      </c>
      <c r="E374">
        <v>48.815307531199998</v>
      </c>
      <c r="F374">
        <v>2.2970777983300001</v>
      </c>
    </row>
    <row r="375" spans="1:6" x14ac:dyDescent="0.2">
      <c r="A375">
        <v>3740</v>
      </c>
      <c r="B375" t="s">
        <v>1040</v>
      </c>
      <c r="C375" t="s">
        <v>1237</v>
      </c>
      <c r="D375" t="s">
        <v>1236</v>
      </c>
      <c r="E375">
        <v>48.810746488600003</v>
      </c>
      <c r="F375">
        <v>2.3016785554600001</v>
      </c>
    </row>
    <row r="376" spans="1:6" x14ac:dyDescent="0.2">
      <c r="A376">
        <v>3750</v>
      </c>
      <c r="B376" t="s">
        <v>1041</v>
      </c>
      <c r="C376" t="s">
        <v>1268</v>
      </c>
      <c r="D376" t="s">
        <v>235</v>
      </c>
      <c r="E376">
        <v>48.875764594000003</v>
      </c>
      <c r="F376">
        <v>2.3242560326500001</v>
      </c>
    </row>
    <row r="377" spans="1:6" x14ac:dyDescent="0.2">
      <c r="A377">
        <v>3760</v>
      </c>
      <c r="B377" t="s">
        <v>1042</v>
      </c>
      <c r="C377" t="s">
        <v>1268</v>
      </c>
      <c r="D377" t="s">
        <v>798</v>
      </c>
      <c r="E377">
        <v>48.870667020900001</v>
      </c>
      <c r="F377">
        <v>2.3257526352900002</v>
      </c>
    </row>
    <row r="378" spans="1:6" x14ac:dyDescent="0.2">
      <c r="A378">
        <v>3770</v>
      </c>
      <c r="B378" t="s">
        <v>1043</v>
      </c>
      <c r="C378" t="s">
        <v>1268</v>
      </c>
      <c r="D378" t="s">
        <v>507</v>
      </c>
      <c r="E378">
        <v>48.8659067396</v>
      </c>
      <c r="F378">
        <v>2.3341895419699998</v>
      </c>
    </row>
    <row r="379" spans="1:6" x14ac:dyDescent="0.2">
      <c r="A379">
        <v>3780</v>
      </c>
      <c r="B379" t="s">
        <v>1044</v>
      </c>
      <c r="C379" t="s">
        <v>1268</v>
      </c>
      <c r="D379" t="s">
        <v>20</v>
      </c>
      <c r="E379">
        <v>48.857708819700001</v>
      </c>
      <c r="F379">
        <v>2.34794431111</v>
      </c>
    </row>
    <row r="380" spans="1:6" x14ac:dyDescent="0.2">
      <c r="A380">
        <v>3790</v>
      </c>
      <c r="B380" t="s">
        <v>1045</v>
      </c>
      <c r="C380" t="s">
        <v>1268</v>
      </c>
      <c r="D380" t="s">
        <v>24</v>
      </c>
      <c r="E380">
        <v>48.843985582000002</v>
      </c>
      <c r="F380">
        <v>2.3730142199399999</v>
      </c>
    </row>
    <row r="381" spans="1:6" x14ac:dyDescent="0.2">
      <c r="A381">
        <v>3800</v>
      </c>
      <c r="B381" t="s">
        <v>1046</v>
      </c>
      <c r="C381" t="s">
        <v>1268</v>
      </c>
      <c r="D381" t="s">
        <v>437</v>
      </c>
      <c r="E381">
        <v>48.840001389500003</v>
      </c>
      <c r="F381">
        <v>2.3795540112000002</v>
      </c>
    </row>
    <row r="382" spans="1:6" x14ac:dyDescent="0.2">
      <c r="A382">
        <v>3810</v>
      </c>
      <c r="B382" t="s">
        <v>1047</v>
      </c>
      <c r="C382" t="s">
        <v>1268</v>
      </c>
      <c r="D382" t="s">
        <v>1265</v>
      </c>
      <c r="E382">
        <v>48.833338559300003</v>
      </c>
      <c r="F382">
        <v>2.38663240207</v>
      </c>
    </row>
    <row r="383" spans="1:6" x14ac:dyDescent="0.2">
      <c r="A383">
        <v>3820</v>
      </c>
      <c r="B383" t="s">
        <v>1048</v>
      </c>
      <c r="C383" t="s">
        <v>1268</v>
      </c>
      <c r="D383" t="s">
        <v>1266</v>
      </c>
      <c r="E383">
        <v>48.829990281699999</v>
      </c>
      <c r="F383">
        <v>2.3757481443400001</v>
      </c>
    </row>
    <row r="384" spans="1:6" x14ac:dyDescent="0.2">
      <c r="A384">
        <v>3830</v>
      </c>
      <c r="B384" t="s">
        <v>1049</v>
      </c>
      <c r="C384" t="s">
        <v>1268</v>
      </c>
      <c r="D384" t="s">
        <v>1267</v>
      </c>
      <c r="E384">
        <v>48.827270835999997</v>
      </c>
      <c r="F384">
        <v>2.3680326477600002</v>
      </c>
    </row>
    <row r="385" spans="1:6" x14ac:dyDescent="0.2">
      <c r="A385">
        <v>3840</v>
      </c>
      <c r="B385" t="s">
        <v>1558</v>
      </c>
      <c r="C385" t="s">
        <v>1525</v>
      </c>
      <c r="D385" t="s">
        <v>1359</v>
      </c>
      <c r="E385">
        <v>48.930214212300001</v>
      </c>
      <c r="F385">
        <v>2.28372255733</v>
      </c>
    </row>
    <row r="386" spans="1:6" x14ac:dyDescent="0.2">
      <c r="A386">
        <v>3850</v>
      </c>
      <c r="B386" t="s">
        <v>1559</v>
      </c>
      <c r="C386" t="s">
        <v>1525</v>
      </c>
      <c r="D386" t="s">
        <v>1526</v>
      </c>
      <c r="E386">
        <v>48.931813996899997</v>
      </c>
      <c r="F386">
        <v>2.2886560059600001</v>
      </c>
    </row>
    <row r="387" spans="1:6" x14ac:dyDescent="0.2">
      <c r="A387">
        <v>3860</v>
      </c>
      <c r="B387" t="s">
        <v>1560</v>
      </c>
      <c r="C387" t="s">
        <v>1525</v>
      </c>
      <c r="D387" t="s">
        <v>1527</v>
      </c>
      <c r="E387">
        <v>48.933355382199998</v>
      </c>
      <c r="F387">
        <v>2.29460298939</v>
      </c>
    </row>
    <row r="388" spans="1:6" x14ac:dyDescent="0.2">
      <c r="A388">
        <v>3870</v>
      </c>
      <c r="B388" t="s">
        <v>1561</v>
      </c>
      <c r="C388" t="s">
        <v>1525</v>
      </c>
      <c r="D388" t="s">
        <v>1528</v>
      </c>
      <c r="E388">
        <v>48.933393832</v>
      </c>
      <c r="F388">
        <v>2.3005933993799998</v>
      </c>
    </row>
    <row r="389" spans="1:6" x14ac:dyDescent="0.2">
      <c r="A389">
        <v>3880</v>
      </c>
      <c r="B389" t="s">
        <v>1562</v>
      </c>
      <c r="C389" t="s">
        <v>1525</v>
      </c>
      <c r="D389" t="s">
        <v>1529</v>
      </c>
      <c r="E389">
        <v>48.933449840800002</v>
      </c>
      <c r="F389">
        <v>2.3070896535299998</v>
      </c>
    </row>
    <row r="390" spans="1:6" x14ac:dyDescent="0.2">
      <c r="A390">
        <v>3890</v>
      </c>
      <c r="B390" t="s">
        <v>1563</v>
      </c>
      <c r="C390" t="s">
        <v>1525</v>
      </c>
      <c r="D390" t="s">
        <v>1530</v>
      </c>
      <c r="E390">
        <v>48.933932028900003</v>
      </c>
      <c r="F390">
        <v>2.3131326405000001</v>
      </c>
    </row>
    <row r="391" spans="1:6" x14ac:dyDescent="0.2">
      <c r="A391">
        <v>3900</v>
      </c>
      <c r="B391" t="s">
        <v>1564</v>
      </c>
      <c r="C391" t="s">
        <v>1525</v>
      </c>
      <c r="D391" t="s">
        <v>1531</v>
      </c>
      <c r="E391">
        <v>48.934608567700003</v>
      </c>
      <c r="F391">
        <v>2.3214951981700001</v>
      </c>
    </row>
    <row r="392" spans="1:6" x14ac:dyDescent="0.2">
      <c r="A392">
        <v>3910</v>
      </c>
      <c r="B392" t="s">
        <v>1565</v>
      </c>
      <c r="C392" t="s">
        <v>1525</v>
      </c>
      <c r="D392" t="s">
        <v>1532</v>
      </c>
      <c r="E392">
        <v>48.934975826699997</v>
      </c>
      <c r="F392">
        <v>2.32679331227</v>
      </c>
    </row>
    <row r="393" spans="1:6" x14ac:dyDescent="0.2">
      <c r="A393">
        <v>3920</v>
      </c>
      <c r="B393" t="s">
        <v>1566</v>
      </c>
      <c r="C393" t="s">
        <v>1525</v>
      </c>
      <c r="D393" t="s">
        <v>1533</v>
      </c>
      <c r="E393">
        <v>48.935605709299999</v>
      </c>
      <c r="F393">
        <v>2.3343329131599999</v>
      </c>
    </row>
    <row r="394" spans="1:6" x14ac:dyDescent="0.2">
      <c r="A394">
        <v>3930</v>
      </c>
      <c r="B394" t="s">
        <v>1567</v>
      </c>
      <c r="C394" t="s">
        <v>1525</v>
      </c>
      <c r="D394" t="s">
        <v>1534</v>
      </c>
      <c r="E394">
        <v>48.935748042100002</v>
      </c>
      <c r="F394">
        <v>2.33910838701</v>
      </c>
    </row>
    <row r="395" spans="1:6" x14ac:dyDescent="0.2">
      <c r="A395">
        <v>3940</v>
      </c>
      <c r="B395" t="s">
        <v>1568</v>
      </c>
      <c r="C395" t="s">
        <v>1525</v>
      </c>
      <c r="D395" t="s">
        <v>1535</v>
      </c>
      <c r="E395">
        <v>48.936134692300001</v>
      </c>
      <c r="F395">
        <v>2.3464437624199999</v>
      </c>
    </row>
    <row r="396" spans="1:6" x14ac:dyDescent="0.2">
      <c r="A396">
        <v>3950</v>
      </c>
      <c r="B396" t="s">
        <v>1569</v>
      </c>
      <c r="C396" t="s">
        <v>1525</v>
      </c>
      <c r="D396" t="s">
        <v>1536</v>
      </c>
      <c r="E396">
        <v>48.937509896400002</v>
      </c>
      <c r="F396">
        <v>2.3504000185399998</v>
      </c>
    </row>
    <row r="397" spans="1:6" x14ac:dyDescent="0.2">
      <c r="A397">
        <v>3960</v>
      </c>
      <c r="B397" t="s">
        <v>1570</v>
      </c>
      <c r="C397" t="s">
        <v>1525</v>
      </c>
      <c r="D397" t="s">
        <v>1537</v>
      </c>
      <c r="E397">
        <v>48.938597775200002</v>
      </c>
      <c r="F397">
        <v>2.3559028104199999</v>
      </c>
    </row>
    <row r="398" spans="1:6" x14ac:dyDescent="0.2">
      <c r="A398">
        <v>3970</v>
      </c>
      <c r="B398" t="s">
        <v>1571</v>
      </c>
      <c r="C398" t="s">
        <v>1525</v>
      </c>
      <c r="D398" t="s">
        <v>1217</v>
      </c>
      <c r="E398">
        <v>48.938082614999999</v>
      </c>
      <c r="F398">
        <v>2.3607460437599999</v>
      </c>
    </row>
    <row r="399" spans="1:6" x14ac:dyDescent="0.2">
      <c r="A399">
        <v>3980</v>
      </c>
      <c r="B399" t="s">
        <v>1572</v>
      </c>
      <c r="C399" t="s">
        <v>1525</v>
      </c>
      <c r="D399" t="s">
        <v>1538</v>
      </c>
      <c r="E399">
        <v>48.936389147100002</v>
      </c>
      <c r="F399">
        <v>2.3636407022000001</v>
      </c>
    </row>
    <row r="400" spans="1:6" x14ac:dyDescent="0.2">
      <c r="A400">
        <v>3990</v>
      </c>
      <c r="B400" t="s">
        <v>1573</v>
      </c>
      <c r="C400" t="s">
        <v>1525</v>
      </c>
      <c r="D400" t="s">
        <v>1539</v>
      </c>
      <c r="E400">
        <v>48.933586403699998</v>
      </c>
      <c r="F400">
        <v>2.37108317162</v>
      </c>
    </row>
    <row r="401" spans="1:6" x14ac:dyDescent="0.2">
      <c r="A401">
        <v>4000</v>
      </c>
      <c r="B401" t="s">
        <v>1574</v>
      </c>
      <c r="C401" t="s">
        <v>1525</v>
      </c>
      <c r="D401" t="s">
        <v>1540</v>
      </c>
      <c r="E401">
        <v>48.931734825500001</v>
      </c>
      <c r="F401">
        <v>2.3782254904000002</v>
      </c>
    </row>
    <row r="402" spans="1:6" x14ac:dyDescent="0.2">
      <c r="A402">
        <v>4010</v>
      </c>
      <c r="B402" t="s">
        <v>1575</v>
      </c>
      <c r="C402" t="s">
        <v>1525</v>
      </c>
      <c r="D402" t="s">
        <v>1541</v>
      </c>
      <c r="E402">
        <v>48.9299710262</v>
      </c>
      <c r="F402">
        <v>2.3847588614399999</v>
      </c>
    </row>
    <row r="403" spans="1:6" x14ac:dyDescent="0.2">
      <c r="A403">
        <v>4020</v>
      </c>
      <c r="B403" t="s">
        <v>1576</v>
      </c>
      <c r="C403" t="s">
        <v>1525</v>
      </c>
      <c r="D403" t="s">
        <v>1542</v>
      </c>
      <c r="E403">
        <v>48.927402890800003</v>
      </c>
      <c r="F403">
        <v>2.3924711193300001</v>
      </c>
    </row>
    <row r="404" spans="1:6" x14ac:dyDescent="0.2">
      <c r="A404">
        <v>4030</v>
      </c>
      <c r="B404" t="s">
        <v>1577</v>
      </c>
      <c r="C404" t="s">
        <v>1525</v>
      </c>
      <c r="D404" t="s">
        <v>1543</v>
      </c>
      <c r="E404">
        <v>48.924375143399999</v>
      </c>
      <c r="F404">
        <v>2.4020734143600002</v>
      </c>
    </row>
    <row r="405" spans="1:6" x14ac:dyDescent="0.2">
      <c r="A405">
        <v>4040</v>
      </c>
      <c r="B405" t="s">
        <v>1578</v>
      </c>
      <c r="C405" t="s">
        <v>1525</v>
      </c>
      <c r="D405" t="s">
        <v>1544</v>
      </c>
      <c r="E405">
        <v>48.922711189300003</v>
      </c>
      <c r="F405">
        <v>2.4066227537099998</v>
      </c>
    </row>
    <row r="406" spans="1:6" x14ac:dyDescent="0.2">
      <c r="A406">
        <v>4050</v>
      </c>
      <c r="B406" t="s">
        <v>1579</v>
      </c>
      <c r="C406" t="s">
        <v>1525</v>
      </c>
      <c r="D406" t="s">
        <v>494</v>
      </c>
      <c r="E406">
        <v>48.920785969999997</v>
      </c>
      <c r="F406">
        <v>2.4105986150900001</v>
      </c>
    </row>
    <row r="407" spans="1:6" x14ac:dyDescent="0.2">
      <c r="A407">
        <v>4060</v>
      </c>
      <c r="B407" t="s">
        <v>1580</v>
      </c>
      <c r="C407" t="s">
        <v>1525</v>
      </c>
      <c r="D407" t="s">
        <v>1545</v>
      </c>
      <c r="E407">
        <v>48.919179027699997</v>
      </c>
      <c r="F407">
        <v>2.41383718232</v>
      </c>
    </row>
    <row r="408" spans="1:6" x14ac:dyDescent="0.2">
      <c r="A408">
        <v>4070</v>
      </c>
      <c r="B408" t="s">
        <v>1581</v>
      </c>
      <c r="C408" t="s">
        <v>1525</v>
      </c>
      <c r="D408" t="s">
        <v>1546</v>
      </c>
      <c r="E408">
        <v>48.917783725299998</v>
      </c>
      <c r="F408">
        <v>2.4176910933400002</v>
      </c>
    </row>
    <row r="409" spans="1:6" x14ac:dyDescent="0.2">
      <c r="A409">
        <v>4080</v>
      </c>
      <c r="B409" t="s">
        <v>1582</v>
      </c>
      <c r="C409" t="s">
        <v>1525</v>
      </c>
      <c r="D409" t="s">
        <v>1547</v>
      </c>
      <c r="E409">
        <v>48.915837892900001</v>
      </c>
      <c r="F409">
        <v>2.42500989427</v>
      </c>
    </row>
    <row r="410" spans="1:6" x14ac:dyDescent="0.2">
      <c r="A410">
        <v>4090</v>
      </c>
      <c r="B410" t="s">
        <v>1583</v>
      </c>
      <c r="C410" t="s">
        <v>1525</v>
      </c>
      <c r="D410" t="s">
        <v>1548</v>
      </c>
      <c r="E410">
        <v>48.914093264400002</v>
      </c>
      <c r="F410">
        <v>2.4312780034700001</v>
      </c>
    </row>
    <row r="411" spans="1:6" x14ac:dyDescent="0.2">
      <c r="A411">
        <v>4100</v>
      </c>
      <c r="B411" t="s">
        <v>1584</v>
      </c>
      <c r="C411" t="s">
        <v>1525</v>
      </c>
      <c r="D411" t="s">
        <v>1549</v>
      </c>
      <c r="E411">
        <v>48.912704975300002</v>
      </c>
      <c r="F411">
        <v>2.4354209929900001</v>
      </c>
    </row>
    <row r="412" spans="1:6" x14ac:dyDescent="0.2">
      <c r="A412">
        <v>4110</v>
      </c>
      <c r="B412" t="s">
        <v>1585</v>
      </c>
      <c r="C412" t="s">
        <v>1525</v>
      </c>
      <c r="D412" t="s">
        <v>1550</v>
      </c>
      <c r="E412">
        <v>48.9096663654</v>
      </c>
      <c r="F412">
        <v>2.4374878035799998</v>
      </c>
    </row>
    <row r="413" spans="1:6" x14ac:dyDescent="0.2">
      <c r="A413">
        <v>4120</v>
      </c>
      <c r="B413" t="s">
        <v>1586</v>
      </c>
      <c r="C413" t="s">
        <v>1525</v>
      </c>
      <c r="D413" t="s">
        <v>1551</v>
      </c>
      <c r="E413">
        <v>48.9069318321</v>
      </c>
      <c r="F413">
        <v>2.4386244958600001</v>
      </c>
    </row>
    <row r="414" spans="1:6" x14ac:dyDescent="0.2">
      <c r="A414">
        <v>4130</v>
      </c>
      <c r="B414" t="s">
        <v>1587</v>
      </c>
      <c r="C414" t="s">
        <v>1525</v>
      </c>
      <c r="D414" t="s">
        <v>1552</v>
      </c>
      <c r="E414">
        <v>48.906536559099997</v>
      </c>
      <c r="F414">
        <v>2.4439923345499999</v>
      </c>
    </row>
    <row r="415" spans="1:6" x14ac:dyDescent="0.2">
      <c r="A415">
        <v>4140</v>
      </c>
      <c r="B415" t="s">
        <v>1588</v>
      </c>
      <c r="C415" t="s">
        <v>1525</v>
      </c>
      <c r="D415" t="s">
        <v>403</v>
      </c>
      <c r="E415">
        <v>48.9065332885</v>
      </c>
      <c r="F415">
        <v>2.4500046630300001</v>
      </c>
    </row>
    <row r="416" spans="1:6" x14ac:dyDescent="0.2">
      <c r="A416">
        <v>4150</v>
      </c>
      <c r="B416" t="s">
        <v>1589</v>
      </c>
      <c r="C416" t="s">
        <v>1525</v>
      </c>
      <c r="D416" t="s">
        <v>1553</v>
      </c>
      <c r="E416">
        <v>48.907812546800002</v>
      </c>
      <c r="F416">
        <v>2.4543528265200001</v>
      </c>
    </row>
    <row r="417" spans="1:6" x14ac:dyDescent="0.2">
      <c r="A417">
        <v>4160</v>
      </c>
      <c r="B417" t="s">
        <v>1590</v>
      </c>
      <c r="C417" t="s">
        <v>1525</v>
      </c>
      <c r="D417" t="s">
        <v>1554</v>
      </c>
      <c r="E417">
        <v>48.906700631699998</v>
      </c>
      <c r="F417">
        <v>2.4605234036699999</v>
      </c>
    </row>
    <row r="418" spans="1:6" x14ac:dyDescent="0.2">
      <c r="A418">
        <v>4170</v>
      </c>
      <c r="B418" t="s">
        <v>1591</v>
      </c>
      <c r="C418" t="s">
        <v>1525</v>
      </c>
      <c r="D418" t="s">
        <v>1555</v>
      </c>
      <c r="E418">
        <v>48.904703203799997</v>
      </c>
      <c r="F418">
        <v>2.4699715436099998</v>
      </c>
    </row>
    <row r="419" spans="1:6" x14ac:dyDescent="0.2">
      <c r="A419">
        <v>4180</v>
      </c>
      <c r="B419" t="s">
        <v>1592</v>
      </c>
      <c r="C419" t="s">
        <v>1525</v>
      </c>
      <c r="D419" t="s">
        <v>1556</v>
      </c>
      <c r="E419">
        <v>48.900417304100003</v>
      </c>
      <c r="F419">
        <v>2.4654604813600001</v>
      </c>
    </row>
    <row r="420" spans="1:6" x14ac:dyDescent="0.2">
      <c r="A420">
        <v>4190</v>
      </c>
      <c r="B420" t="s">
        <v>1593</v>
      </c>
      <c r="C420" t="s">
        <v>1525</v>
      </c>
      <c r="D420" t="s">
        <v>1557</v>
      </c>
      <c r="E420">
        <v>48.895915836199997</v>
      </c>
      <c r="F420">
        <v>2.46033007088</v>
      </c>
    </row>
    <row r="421" spans="1:6" x14ac:dyDescent="0.2">
      <c r="A421">
        <v>4200</v>
      </c>
      <c r="B421" t="s">
        <v>1652</v>
      </c>
      <c r="C421" t="s">
        <v>1650</v>
      </c>
      <c r="D421" t="s">
        <v>1628</v>
      </c>
      <c r="E421">
        <v>48.923268254200003</v>
      </c>
      <c r="F421">
        <v>2.2175897993499998</v>
      </c>
    </row>
    <row r="422" spans="1:6" x14ac:dyDescent="0.2">
      <c r="A422">
        <v>4210</v>
      </c>
      <c r="B422" t="s">
        <v>1653</v>
      </c>
      <c r="C422" t="s">
        <v>1650</v>
      </c>
      <c r="D422" t="s">
        <v>1629</v>
      </c>
      <c r="E422">
        <v>48.917514907600001</v>
      </c>
      <c r="F422">
        <v>2.2248121888800001</v>
      </c>
    </row>
    <row r="423" spans="1:6" x14ac:dyDescent="0.2">
      <c r="A423">
        <v>4220</v>
      </c>
      <c r="B423" t="s">
        <v>1655</v>
      </c>
      <c r="C423" t="s">
        <v>1650</v>
      </c>
      <c r="D423" t="s">
        <v>1630</v>
      </c>
      <c r="E423">
        <v>48.914047680700001</v>
      </c>
      <c r="F423">
        <v>2.2295716132900001</v>
      </c>
    </row>
    <row r="424" spans="1:6" x14ac:dyDescent="0.2">
      <c r="A424">
        <v>4230</v>
      </c>
      <c r="B424" t="s">
        <v>1657</v>
      </c>
      <c r="C424" t="s">
        <v>1650</v>
      </c>
      <c r="D424" t="s">
        <v>1631</v>
      </c>
      <c r="E424">
        <v>48.910802589699998</v>
      </c>
      <c r="F424">
        <v>2.2339886014300001</v>
      </c>
    </row>
    <row r="425" spans="1:6" x14ac:dyDescent="0.2">
      <c r="A425">
        <v>4240</v>
      </c>
      <c r="B425" t="s">
        <v>1659</v>
      </c>
      <c r="C425" t="s">
        <v>1650</v>
      </c>
      <c r="D425" t="s">
        <v>1632</v>
      </c>
      <c r="E425">
        <v>48.907664583900001</v>
      </c>
      <c r="F425">
        <v>2.2383093022899998</v>
      </c>
    </row>
    <row r="426" spans="1:6" x14ac:dyDescent="0.2">
      <c r="A426">
        <v>4250</v>
      </c>
      <c r="B426" t="s">
        <v>1661</v>
      </c>
      <c r="C426" t="s">
        <v>1650</v>
      </c>
      <c r="D426" t="s">
        <v>1633</v>
      </c>
      <c r="E426">
        <v>48.902768025599997</v>
      </c>
      <c r="F426">
        <v>2.23954203632</v>
      </c>
    </row>
    <row r="427" spans="1:6" x14ac:dyDescent="0.2">
      <c r="A427">
        <v>4260</v>
      </c>
      <c r="B427" t="s">
        <v>1663</v>
      </c>
      <c r="C427" t="s">
        <v>1650</v>
      </c>
      <c r="D427" t="s">
        <v>1634</v>
      </c>
      <c r="E427">
        <v>48.896664396299997</v>
      </c>
      <c r="F427">
        <v>2.2400792520500001</v>
      </c>
    </row>
    <row r="428" spans="1:6" x14ac:dyDescent="0.2">
      <c r="A428">
        <v>4270</v>
      </c>
      <c r="B428" t="s">
        <v>1665</v>
      </c>
      <c r="C428" t="s">
        <v>1650</v>
      </c>
      <c r="D428" t="s">
        <v>8</v>
      </c>
      <c r="E428">
        <v>48.892123363800003</v>
      </c>
      <c r="F428">
        <v>2.2372135364600001</v>
      </c>
    </row>
    <row r="429" spans="1:6" x14ac:dyDescent="0.2">
      <c r="A429">
        <v>4280</v>
      </c>
      <c r="B429" t="s">
        <v>1667</v>
      </c>
      <c r="C429" t="s">
        <v>1650</v>
      </c>
      <c r="D429" t="s">
        <v>1635</v>
      </c>
      <c r="E429">
        <v>48.883334876600003</v>
      </c>
      <c r="F429">
        <v>2.2338714337900001</v>
      </c>
    </row>
    <row r="430" spans="1:6" x14ac:dyDescent="0.2">
      <c r="A430">
        <v>4290</v>
      </c>
      <c r="B430" t="s">
        <v>1669</v>
      </c>
      <c r="C430" t="s">
        <v>1650</v>
      </c>
      <c r="D430" t="s">
        <v>1636</v>
      </c>
      <c r="E430">
        <v>48.876001291500003</v>
      </c>
      <c r="F430">
        <v>2.2259590951399999</v>
      </c>
    </row>
    <row r="431" spans="1:6" x14ac:dyDescent="0.2">
      <c r="A431">
        <v>4300</v>
      </c>
      <c r="B431" t="s">
        <v>1671</v>
      </c>
      <c r="C431" t="s">
        <v>1650</v>
      </c>
      <c r="D431" t="s">
        <v>1639</v>
      </c>
      <c r="E431">
        <v>48.868238784900001</v>
      </c>
      <c r="F431">
        <v>2.2214106039799999</v>
      </c>
    </row>
    <row r="432" spans="1:6" x14ac:dyDescent="0.2">
      <c r="A432">
        <v>4310</v>
      </c>
      <c r="B432" t="s">
        <v>1673</v>
      </c>
      <c r="C432" t="s">
        <v>1650</v>
      </c>
      <c r="D432" t="s">
        <v>1637</v>
      </c>
      <c r="E432">
        <v>48.857471408899997</v>
      </c>
      <c r="F432">
        <v>2.2206035600299998</v>
      </c>
    </row>
    <row r="433" spans="1:6" x14ac:dyDescent="0.2">
      <c r="A433">
        <v>4320</v>
      </c>
      <c r="B433" t="s">
        <v>1675</v>
      </c>
      <c r="C433" t="s">
        <v>1650</v>
      </c>
      <c r="D433" t="s">
        <v>1638</v>
      </c>
      <c r="E433">
        <v>48.849850487799998</v>
      </c>
      <c r="F433">
        <v>2.2212326832699998</v>
      </c>
    </row>
    <row r="434" spans="1:6" x14ac:dyDescent="0.2">
      <c r="A434">
        <v>4330</v>
      </c>
      <c r="B434" t="s">
        <v>1677</v>
      </c>
      <c r="C434" t="s">
        <v>1650</v>
      </c>
      <c r="D434" t="s">
        <v>1640</v>
      </c>
      <c r="E434">
        <v>48.843124399899999</v>
      </c>
      <c r="F434">
        <v>2.2218514947500001</v>
      </c>
    </row>
    <row r="435" spans="1:6" x14ac:dyDescent="0.2">
      <c r="A435">
        <v>4340</v>
      </c>
      <c r="B435" t="s">
        <v>1679</v>
      </c>
      <c r="C435" t="s">
        <v>1650</v>
      </c>
      <c r="D435" t="s">
        <v>1641</v>
      </c>
      <c r="E435">
        <v>48.829010502800003</v>
      </c>
      <c r="F435">
        <v>2.2253128532800002</v>
      </c>
    </row>
    <row r="436" spans="1:6" x14ac:dyDescent="0.2">
      <c r="A436">
        <v>4350</v>
      </c>
      <c r="B436" t="s">
        <v>1681</v>
      </c>
      <c r="C436" t="s">
        <v>1650</v>
      </c>
      <c r="D436" t="s">
        <v>1642</v>
      </c>
      <c r="E436">
        <v>48.822309932899998</v>
      </c>
      <c r="F436">
        <v>2.2313231598700001</v>
      </c>
    </row>
    <row r="437" spans="1:6" x14ac:dyDescent="0.2">
      <c r="A437">
        <v>4360</v>
      </c>
      <c r="B437" t="s">
        <v>1683</v>
      </c>
      <c r="C437" t="s">
        <v>1650</v>
      </c>
      <c r="D437" t="s">
        <v>1643</v>
      </c>
      <c r="E437">
        <v>48.819174329100001</v>
      </c>
      <c r="F437">
        <v>2.2385983377900001</v>
      </c>
    </row>
    <row r="438" spans="1:6" x14ac:dyDescent="0.2">
      <c r="A438">
        <v>4370</v>
      </c>
      <c r="B438" t="s">
        <v>1685</v>
      </c>
      <c r="C438" t="s">
        <v>1650</v>
      </c>
      <c r="D438" t="s">
        <v>1644</v>
      </c>
      <c r="E438">
        <v>48.821517522500002</v>
      </c>
      <c r="F438">
        <v>2.2513361562099998</v>
      </c>
    </row>
    <row r="439" spans="1:6" x14ac:dyDescent="0.2">
      <c r="A439">
        <v>4380</v>
      </c>
      <c r="B439" t="s">
        <v>1687</v>
      </c>
      <c r="C439" t="s">
        <v>1650</v>
      </c>
      <c r="D439" t="s">
        <v>1645</v>
      </c>
      <c r="E439">
        <v>48.824767025500002</v>
      </c>
      <c r="F439">
        <v>2.2605399136700002</v>
      </c>
    </row>
    <row r="440" spans="1:6" x14ac:dyDescent="0.2">
      <c r="A440">
        <v>4390</v>
      </c>
      <c r="B440" t="s">
        <v>1689</v>
      </c>
      <c r="C440" t="s">
        <v>1650</v>
      </c>
      <c r="D440" t="s">
        <v>1646</v>
      </c>
      <c r="E440">
        <v>48.829890157800001</v>
      </c>
      <c r="F440">
        <v>2.2631785657000001</v>
      </c>
    </row>
    <row r="441" spans="1:6" x14ac:dyDescent="0.2">
      <c r="A441">
        <v>4400</v>
      </c>
      <c r="B441" t="s">
        <v>1691</v>
      </c>
      <c r="C441" t="s">
        <v>1650</v>
      </c>
      <c r="D441" t="s">
        <v>1647</v>
      </c>
      <c r="E441">
        <v>48.834750010400001</v>
      </c>
      <c r="F441">
        <v>2.27124150094</v>
      </c>
    </row>
    <row r="442" spans="1:6" x14ac:dyDescent="0.2">
      <c r="A442">
        <v>4410</v>
      </c>
      <c r="B442" t="s">
        <v>1693</v>
      </c>
      <c r="C442" t="s">
        <v>1650</v>
      </c>
      <c r="D442" t="s">
        <v>1648</v>
      </c>
      <c r="E442">
        <v>48.833365343799997</v>
      </c>
      <c r="F442">
        <v>2.2767120905299998</v>
      </c>
    </row>
    <row r="443" spans="1:6" x14ac:dyDescent="0.2">
      <c r="A443">
        <v>4420</v>
      </c>
      <c r="B443" t="s">
        <v>1695</v>
      </c>
      <c r="C443" t="s">
        <v>1650</v>
      </c>
      <c r="D443" t="s">
        <v>1649</v>
      </c>
      <c r="E443">
        <v>48.831696593099998</v>
      </c>
      <c r="F443">
        <v>2.28147044408</v>
      </c>
    </row>
    <row r="444" spans="1:6" x14ac:dyDescent="0.2">
      <c r="A444">
        <v>4430</v>
      </c>
      <c r="B444" t="s">
        <v>1697</v>
      </c>
      <c r="C444" t="s">
        <v>1650</v>
      </c>
      <c r="D444" t="s">
        <v>1185</v>
      </c>
      <c r="E444">
        <v>48.8318724684</v>
      </c>
      <c r="F444">
        <v>2.28720713917</v>
      </c>
    </row>
    <row r="445" spans="1:6" x14ac:dyDescent="0.2">
      <c r="A445">
        <v>4440</v>
      </c>
      <c r="B445" t="s">
        <v>1713</v>
      </c>
      <c r="C445" t="s">
        <v>1712</v>
      </c>
      <c r="D445" t="s">
        <v>1651</v>
      </c>
      <c r="E445">
        <v>48.838075890600003</v>
      </c>
      <c r="F445">
        <v>2.2711744020700002</v>
      </c>
    </row>
    <row r="446" spans="1:6" x14ac:dyDescent="0.2">
      <c r="A446">
        <v>4450</v>
      </c>
      <c r="B446" t="s">
        <v>1714</v>
      </c>
      <c r="C446" t="s">
        <v>1712</v>
      </c>
      <c r="D446" t="s">
        <v>790</v>
      </c>
      <c r="E446">
        <v>48.836122979300001</v>
      </c>
      <c r="F446">
        <v>2.2781191769600002</v>
      </c>
    </row>
    <row r="447" spans="1:6" x14ac:dyDescent="0.2">
      <c r="A447">
        <v>4460</v>
      </c>
      <c r="B447" t="s">
        <v>1716</v>
      </c>
      <c r="C447" t="s">
        <v>1712</v>
      </c>
      <c r="D447" t="s">
        <v>1698</v>
      </c>
      <c r="E447">
        <v>48.834358165499999</v>
      </c>
      <c r="F447">
        <v>2.2840072433</v>
      </c>
    </row>
    <row r="448" spans="1:6" x14ac:dyDescent="0.2">
      <c r="A448">
        <v>4470</v>
      </c>
      <c r="B448" t="s">
        <v>1718</v>
      </c>
      <c r="C448" t="s">
        <v>1712</v>
      </c>
      <c r="D448" t="s">
        <v>1185</v>
      </c>
      <c r="E448">
        <v>48.832676871899999</v>
      </c>
      <c r="F448">
        <v>2.2880694575999998</v>
      </c>
    </row>
    <row r="449" spans="1:6" x14ac:dyDescent="0.2">
      <c r="A449">
        <v>4480</v>
      </c>
      <c r="B449" t="s">
        <v>1720</v>
      </c>
      <c r="C449" t="s">
        <v>1712</v>
      </c>
      <c r="D449" t="s">
        <v>1699</v>
      </c>
      <c r="E449">
        <v>48.829826378999996</v>
      </c>
      <c r="F449">
        <v>2.29566198282</v>
      </c>
    </row>
    <row r="450" spans="1:6" x14ac:dyDescent="0.2">
      <c r="A450">
        <v>4490</v>
      </c>
      <c r="B450" t="s">
        <v>1722</v>
      </c>
      <c r="C450" t="s">
        <v>1712</v>
      </c>
      <c r="D450" t="s">
        <v>1700</v>
      </c>
      <c r="E450">
        <v>48.828671939499998</v>
      </c>
      <c r="F450">
        <v>2.3008518261300002</v>
      </c>
    </row>
    <row r="451" spans="1:6" x14ac:dyDescent="0.2">
      <c r="A451">
        <v>4500</v>
      </c>
      <c r="B451" t="s">
        <v>1724</v>
      </c>
      <c r="C451" t="s">
        <v>1712</v>
      </c>
      <c r="D451" t="s">
        <v>1233</v>
      </c>
      <c r="E451">
        <v>48.827414858700003</v>
      </c>
      <c r="F451">
        <v>2.3066359265099998</v>
      </c>
    </row>
    <row r="452" spans="1:6" x14ac:dyDescent="0.2">
      <c r="A452">
        <v>4510</v>
      </c>
      <c r="B452" t="s">
        <v>1726</v>
      </c>
      <c r="C452" t="s">
        <v>1712</v>
      </c>
      <c r="D452" t="s">
        <v>1701</v>
      </c>
      <c r="E452">
        <v>48.825920546100001</v>
      </c>
      <c r="F452">
        <v>2.3133800873800001</v>
      </c>
    </row>
    <row r="453" spans="1:6" x14ac:dyDescent="0.2">
      <c r="A453">
        <v>4520</v>
      </c>
      <c r="B453" t="s">
        <v>1728</v>
      </c>
      <c r="C453" t="s">
        <v>1712</v>
      </c>
      <c r="D453" t="s">
        <v>1702</v>
      </c>
      <c r="E453">
        <v>48.8247110179</v>
      </c>
      <c r="F453">
        <v>2.3188296912699999</v>
      </c>
    </row>
    <row r="454" spans="1:6" x14ac:dyDescent="0.2">
      <c r="A454">
        <v>4530</v>
      </c>
      <c r="B454" t="s">
        <v>1730</v>
      </c>
      <c r="C454" t="s">
        <v>1712</v>
      </c>
      <c r="D454" t="s">
        <v>2202</v>
      </c>
      <c r="E454">
        <v>48.823151633099997</v>
      </c>
      <c r="F454">
        <v>2.3255095778200001</v>
      </c>
    </row>
    <row r="455" spans="1:6" x14ac:dyDescent="0.2">
      <c r="A455">
        <v>4540</v>
      </c>
      <c r="B455" t="s">
        <v>1732</v>
      </c>
      <c r="C455" t="s">
        <v>1712</v>
      </c>
      <c r="D455" t="s">
        <v>1703</v>
      </c>
      <c r="E455">
        <v>48.821508917400003</v>
      </c>
      <c r="F455">
        <v>2.3333398328600001</v>
      </c>
    </row>
    <row r="456" spans="1:6" x14ac:dyDescent="0.2">
      <c r="A456">
        <v>4550</v>
      </c>
      <c r="B456" t="s">
        <v>1734</v>
      </c>
      <c r="C456" t="s">
        <v>1712</v>
      </c>
      <c r="D456" t="s">
        <v>1704</v>
      </c>
      <c r="E456">
        <v>48.820350034199997</v>
      </c>
      <c r="F456">
        <v>2.3385807496400002</v>
      </c>
    </row>
    <row r="457" spans="1:6" x14ac:dyDescent="0.2">
      <c r="A457">
        <v>4560</v>
      </c>
      <c r="B457" t="s">
        <v>1736</v>
      </c>
      <c r="C457" t="s">
        <v>1712</v>
      </c>
      <c r="D457" t="s">
        <v>1705</v>
      </c>
      <c r="E457">
        <v>48.819500509900003</v>
      </c>
      <c r="F457">
        <v>2.3458035798400001</v>
      </c>
    </row>
    <row r="458" spans="1:6" x14ac:dyDescent="0.2">
      <c r="A458">
        <v>4570</v>
      </c>
      <c r="B458" t="s">
        <v>1738</v>
      </c>
      <c r="C458" t="s">
        <v>1712</v>
      </c>
      <c r="D458" t="s">
        <v>1706</v>
      </c>
      <c r="E458">
        <v>48.8208733552</v>
      </c>
      <c r="F458">
        <v>2.3509328780600001</v>
      </c>
    </row>
    <row r="459" spans="1:6" x14ac:dyDescent="0.2">
      <c r="A459">
        <v>4580</v>
      </c>
      <c r="B459" t="s">
        <v>1740</v>
      </c>
      <c r="C459" t="s">
        <v>1712</v>
      </c>
      <c r="D459" t="s">
        <v>517</v>
      </c>
      <c r="E459">
        <v>48.8190515147</v>
      </c>
      <c r="F459">
        <v>2.3601297420199998</v>
      </c>
    </row>
    <row r="460" spans="1:6" x14ac:dyDescent="0.2">
      <c r="A460">
        <v>4590</v>
      </c>
      <c r="B460" t="s">
        <v>1742</v>
      </c>
      <c r="C460" t="s">
        <v>1712</v>
      </c>
      <c r="D460" t="s">
        <v>518</v>
      </c>
      <c r="E460">
        <v>48.819761267600001</v>
      </c>
      <c r="F460">
        <v>2.3640154621799998</v>
      </c>
    </row>
    <row r="461" spans="1:6" x14ac:dyDescent="0.2">
      <c r="A461">
        <v>4600</v>
      </c>
      <c r="B461" t="s">
        <v>1744</v>
      </c>
      <c r="C461" t="s">
        <v>1712</v>
      </c>
      <c r="D461" t="s">
        <v>519</v>
      </c>
      <c r="E461">
        <v>48.821829558099999</v>
      </c>
      <c r="F461">
        <v>2.3700536035300002</v>
      </c>
    </row>
    <row r="462" spans="1:6" x14ac:dyDescent="0.2">
      <c r="A462">
        <v>4610</v>
      </c>
      <c r="B462" t="s">
        <v>1746</v>
      </c>
      <c r="C462" t="s">
        <v>1712</v>
      </c>
      <c r="D462" t="s">
        <v>1707</v>
      </c>
      <c r="E462">
        <v>48.824328503499999</v>
      </c>
      <c r="F462">
        <v>2.3775842914599998</v>
      </c>
    </row>
    <row r="463" spans="1:6" x14ac:dyDescent="0.2">
      <c r="A463">
        <v>4620</v>
      </c>
      <c r="B463" t="s">
        <v>1748</v>
      </c>
      <c r="C463" t="s">
        <v>1712</v>
      </c>
      <c r="D463" t="s">
        <v>1708</v>
      </c>
      <c r="E463">
        <v>48.8255702286</v>
      </c>
      <c r="F463">
        <v>2.3811655919599999</v>
      </c>
    </row>
    <row r="464" spans="1:6" x14ac:dyDescent="0.2">
      <c r="A464">
        <v>4630</v>
      </c>
      <c r="B464" t="s">
        <v>1750</v>
      </c>
      <c r="C464" t="s">
        <v>1712</v>
      </c>
      <c r="D464" t="s">
        <v>1709</v>
      </c>
      <c r="E464">
        <v>48.8303885897</v>
      </c>
      <c r="F464">
        <v>2.39344969832</v>
      </c>
    </row>
    <row r="465" spans="1:6" x14ac:dyDescent="0.2">
      <c r="A465">
        <v>4640</v>
      </c>
      <c r="B465" t="s">
        <v>1752</v>
      </c>
      <c r="C465" t="s">
        <v>1712</v>
      </c>
      <c r="D465" t="s">
        <v>811</v>
      </c>
      <c r="E465">
        <v>48.831993086200001</v>
      </c>
      <c r="F465">
        <v>2.3983501038699999</v>
      </c>
    </row>
    <row r="466" spans="1:6" x14ac:dyDescent="0.2">
      <c r="A466">
        <v>4650</v>
      </c>
      <c r="B466" t="s">
        <v>1754</v>
      </c>
      <c r="C466" t="s">
        <v>1712</v>
      </c>
      <c r="D466" t="s">
        <v>810</v>
      </c>
      <c r="E466">
        <v>48.835522208299999</v>
      </c>
      <c r="F466">
        <v>2.4066571471399998</v>
      </c>
    </row>
    <row r="467" spans="1:6" x14ac:dyDescent="0.2">
      <c r="A467">
        <v>4660</v>
      </c>
      <c r="B467" t="s">
        <v>1756</v>
      </c>
      <c r="C467" t="s">
        <v>1712</v>
      </c>
      <c r="D467" t="s">
        <v>1710</v>
      </c>
      <c r="E467">
        <v>48.839841073199999</v>
      </c>
      <c r="F467">
        <v>2.4088668503999999</v>
      </c>
    </row>
    <row r="468" spans="1:6" x14ac:dyDescent="0.2">
      <c r="A468">
        <v>4670</v>
      </c>
      <c r="B468" t="s">
        <v>1758</v>
      </c>
      <c r="C468" t="s">
        <v>1712</v>
      </c>
      <c r="D468" t="s">
        <v>1711</v>
      </c>
      <c r="E468">
        <v>48.843771786700003</v>
      </c>
      <c r="F468">
        <v>2.41013203808</v>
      </c>
    </row>
    <row r="469" spans="1:6" x14ac:dyDescent="0.2">
      <c r="A469">
        <v>4680</v>
      </c>
      <c r="B469" t="s">
        <v>1760</v>
      </c>
      <c r="C469" t="s">
        <v>1712</v>
      </c>
      <c r="D469" t="s">
        <v>26</v>
      </c>
      <c r="E469">
        <v>48.846948150999999</v>
      </c>
      <c r="F469">
        <v>2.4095514298</v>
      </c>
    </row>
    <row r="470" spans="1:6" x14ac:dyDescent="0.2">
      <c r="A470">
        <v>4690</v>
      </c>
      <c r="B470" t="s">
        <v>1778</v>
      </c>
      <c r="C470" t="s">
        <v>1761</v>
      </c>
      <c r="D470" t="s">
        <v>26</v>
      </c>
      <c r="E470">
        <v>48.847393890500001</v>
      </c>
      <c r="F470">
        <v>2.4096560563999998</v>
      </c>
    </row>
    <row r="471" spans="1:6" x14ac:dyDescent="0.2">
      <c r="A471">
        <v>4700</v>
      </c>
      <c r="B471" t="s">
        <v>1779</v>
      </c>
      <c r="C471" t="s">
        <v>1761</v>
      </c>
      <c r="D471" t="s">
        <v>918</v>
      </c>
      <c r="E471">
        <v>48.852987277899999</v>
      </c>
      <c r="F471">
        <v>2.41074113613</v>
      </c>
    </row>
    <row r="472" spans="1:6" x14ac:dyDescent="0.2">
      <c r="A472">
        <v>4710</v>
      </c>
      <c r="B472" t="s">
        <v>1781</v>
      </c>
      <c r="C472" t="s">
        <v>1761</v>
      </c>
      <c r="D472" t="s">
        <v>1763</v>
      </c>
      <c r="E472">
        <v>48.8587040102</v>
      </c>
      <c r="F472">
        <v>2.4096856869700001</v>
      </c>
    </row>
    <row r="473" spans="1:6" x14ac:dyDescent="0.2">
      <c r="A473">
        <v>4720</v>
      </c>
      <c r="B473" t="s">
        <v>1783</v>
      </c>
      <c r="C473" t="s">
        <v>1761</v>
      </c>
      <c r="D473" t="s">
        <v>248</v>
      </c>
      <c r="E473">
        <v>48.863433741999998</v>
      </c>
      <c r="F473">
        <v>2.4088324651400002</v>
      </c>
    </row>
    <row r="474" spans="1:6" x14ac:dyDescent="0.2">
      <c r="A474">
        <v>4730</v>
      </c>
      <c r="B474" t="s">
        <v>1785</v>
      </c>
      <c r="C474" t="s">
        <v>1761</v>
      </c>
      <c r="D474" t="s">
        <v>1762</v>
      </c>
      <c r="E474">
        <v>48.867521357199998</v>
      </c>
      <c r="F474">
        <v>2.4089789397399999</v>
      </c>
    </row>
    <row r="475" spans="1:6" x14ac:dyDescent="0.2">
      <c r="A475">
        <v>4740</v>
      </c>
      <c r="B475" t="s">
        <v>1787</v>
      </c>
      <c r="C475" t="s">
        <v>1761</v>
      </c>
      <c r="D475" t="s">
        <v>1764</v>
      </c>
      <c r="E475">
        <v>48.872404094399997</v>
      </c>
      <c r="F475">
        <v>2.40857757742</v>
      </c>
    </row>
    <row r="476" spans="1:6" x14ac:dyDescent="0.2">
      <c r="A476">
        <v>4750</v>
      </c>
      <c r="B476" t="s">
        <v>1789</v>
      </c>
      <c r="C476" t="s">
        <v>1761</v>
      </c>
      <c r="D476" t="s">
        <v>259</v>
      </c>
      <c r="E476">
        <v>48.876568775300001</v>
      </c>
      <c r="F476">
        <v>2.4070349219599998</v>
      </c>
    </row>
    <row r="477" spans="1:6" x14ac:dyDescent="0.2">
      <c r="A477">
        <v>4760</v>
      </c>
      <c r="B477" t="s">
        <v>1791</v>
      </c>
      <c r="C477" t="s">
        <v>1761</v>
      </c>
      <c r="D477" t="s">
        <v>1765</v>
      </c>
      <c r="E477">
        <v>48.879470369099998</v>
      </c>
      <c r="F477">
        <v>2.40122176128</v>
      </c>
    </row>
    <row r="478" spans="1:6" x14ac:dyDescent="0.2">
      <c r="A478">
        <v>4770</v>
      </c>
      <c r="B478" t="s">
        <v>1793</v>
      </c>
      <c r="C478" t="s">
        <v>1761</v>
      </c>
      <c r="D478" t="s">
        <v>1766</v>
      </c>
      <c r="E478">
        <v>48.885016789200002</v>
      </c>
      <c r="F478">
        <v>2.3967512888</v>
      </c>
    </row>
    <row r="479" spans="1:6" x14ac:dyDescent="0.2">
      <c r="A479">
        <v>4780</v>
      </c>
      <c r="B479" t="s">
        <v>1795</v>
      </c>
      <c r="C479" t="s">
        <v>1761</v>
      </c>
      <c r="D479" t="s">
        <v>407</v>
      </c>
      <c r="E479">
        <v>48.889007649500002</v>
      </c>
      <c r="F479">
        <v>2.3956810747100001</v>
      </c>
    </row>
    <row r="480" spans="1:6" x14ac:dyDescent="0.2">
      <c r="A480">
        <v>4790</v>
      </c>
      <c r="B480" t="s">
        <v>1797</v>
      </c>
      <c r="C480" t="s">
        <v>1761</v>
      </c>
      <c r="D480" t="s">
        <v>1767</v>
      </c>
      <c r="E480">
        <v>48.8938802825</v>
      </c>
      <c r="F480">
        <v>2.3977388506500001</v>
      </c>
    </row>
    <row r="481" spans="1:6" x14ac:dyDescent="0.2">
      <c r="A481">
        <v>4800</v>
      </c>
      <c r="B481" t="s">
        <v>1799</v>
      </c>
      <c r="C481" t="s">
        <v>1761</v>
      </c>
      <c r="D481" t="s">
        <v>1768</v>
      </c>
      <c r="E481">
        <v>48.897432849499999</v>
      </c>
      <c r="F481">
        <v>2.3950417496799998</v>
      </c>
    </row>
    <row r="482" spans="1:6" x14ac:dyDescent="0.2">
      <c r="A482">
        <v>4810</v>
      </c>
      <c r="B482" t="s">
        <v>1801</v>
      </c>
      <c r="C482" t="s">
        <v>1761</v>
      </c>
      <c r="D482" t="s">
        <v>497</v>
      </c>
      <c r="E482">
        <v>48.897428735600002</v>
      </c>
      <c r="F482">
        <v>2.3865814331099999</v>
      </c>
    </row>
    <row r="483" spans="1:6" x14ac:dyDescent="0.2">
      <c r="A483">
        <v>4820</v>
      </c>
      <c r="B483" t="s">
        <v>1803</v>
      </c>
      <c r="C483" t="s">
        <v>1761</v>
      </c>
      <c r="D483" t="s">
        <v>1769</v>
      </c>
      <c r="E483">
        <v>48.898733990700002</v>
      </c>
      <c r="F483">
        <v>2.3805370354900002</v>
      </c>
    </row>
    <row r="484" spans="1:6" x14ac:dyDescent="0.2">
      <c r="A484">
        <v>4830</v>
      </c>
      <c r="B484" t="s">
        <v>1805</v>
      </c>
      <c r="C484" t="s">
        <v>1761</v>
      </c>
      <c r="D484" t="s">
        <v>1770</v>
      </c>
      <c r="E484">
        <v>48.897552809899999</v>
      </c>
      <c r="F484">
        <v>2.3733837960000002</v>
      </c>
    </row>
    <row r="485" spans="1:6" x14ac:dyDescent="0.2">
      <c r="A485">
        <v>4840</v>
      </c>
      <c r="B485" t="s">
        <v>1807</v>
      </c>
      <c r="C485" t="s">
        <v>1761</v>
      </c>
      <c r="D485" t="s">
        <v>1771</v>
      </c>
      <c r="E485">
        <v>48.898601172200003</v>
      </c>
      <c r="F485">
        <v>2.3690369493199999</v>
      </c>
    </row>
    <row r="486" spans="1:6" x14ac:dyDescent="0.2">
      <c r="A486">
        <v>4850</v>
      </c>
      <c r="B486" t="s">
        <v>1809</v>
      </c>
      <c r="C486" t="s">
        <v>1761</v>
      </c>
      <c r="D486" t="s">
        <v>1772</v>
      </c>
      <c r="E486">
        <v>48.898491101600001</v>
      </c>
      <c r="F486">
        <v>2.36365138218</v>
      </c>
    </row>
    <row r="487" spans="1:6" x14ac:dyDescent="0.2">
      <c r="A487">
        <v>4860</v>
      </c>
      <c r="B487" t="s">
        <v>1811</v>
      </c>
      <c r="C487" t="s">
        <v>1761</v>
      </c>
      <c r="D487" t="s">
        <v>1167</v>
      </c>
      <c r="E487">
        <v>48.898392124799997</v>
      </c>
      <c r="F487">
        <v>2.3583754693399999</v>
      </c>
    </row>
    <row r="488" spans="1:6" x14ac:dyDescent="0.2">
      <c r="A488">
        <v>4870</v>
      </c>
      <c r="B488" t="s">
        <v>1813</v>
      </c>
      <c r="C488" t="s">
        <v>1761</v>
      </c>
      <c r="D488" t="s">
        <v>1773</v>
      </c>
      <c r="E488">
        <v>48.898325558400003</v>
      </c>
      <c r="F488">
        <v>2.3518295501300002</v>
      </c>
    </row>
    <row r="489" spans="1:6" x14ac:dyDescent="0.2">
      <c r="A489">
        <v>4880</v>
      </c>
      <c r="B489" t="s">
        <v>1815</v>
      </c>
      <c r="C489" t="s">
        <v>1761</v>
      </c>
      <c r="D489" t="s">
        <v>306</v>
      </c>
      <c r="E489">
        <v>48.898024746499999</v>
      </c>
      <c r="F489">
        <v>2.34522829378</v>
      </c>
    </row>
    <row r="490" spans="1:6" x14ac:dyDescent="0.2">
      <c r="A490">
        <v>4890</v>
      </c>
      <c r="B490" t="s">
        <v>1817</v>
      </c>
      <c r="C490" t="s">
        <v>1761</v>
      </c>
      <c r="D490" t="s">
        <v>1774</v>
      </c>
      <c r="E490">
        <v>48.897832385100003</v>
      </c>
      <c r="F490">
        <v>2.3380267402300001</v>
      </c>
    </row>
    <row r="491" spans="1:6" x14ac:dyDescent="0.2">
      <c r="A491">
        <v>4900</v>
      </c>
      <c r="B491" t="s">
        <v>1819</v>
      </c>
      <c r="C491" t="s">
        <v>1761</v>
      </c>
      <c r="D491" t="s">
        <v>1221</v>
      </c>
      <c r="E491">
        <v>48.897671819499998</v>
      </c>
      <c r="F491">
        <v>2.32983033449</v>
      </c>
    </row>
    <row r="492" spans="1:6" x14ac:dyDescent="0.2">
      <c r="A492">
        <v>4910</v>
      </c>
      <c r="B492" t="s">
        <v>1821</v>
      </c>
      <c r="C492" t="s">
        <v>1761</v>
      </c>
      <c r="D492" t="s">
        <v>1775</v>
      </c>
      <c r="E492">
        <v>48.897516716799998</v>
      </c>
      <c r="F492">
        <v>2.3237279130099999</v>
      </c>
    </row>
    <row r="493" spans="1:6" x14ac:dyDescent="0.2">
      <c r="A493">
        <v>4920</v>
      </c>
      <c r="B493" t="s">
        <v>1823</v>
      </c>
      <c r="C493" t="s">
        <v>1761</v>
      </c>
      <c r="D493" t="s">
        <v>1776</v>
      </c>
      <c r="E493">
        <v>48.896226494700002</v>
      </c>
      <c r="F493">
        <v>2.3188023272599998</v>
      </c>
    </row>
    <row r="494" spans="1:6" x14ac:dyDescent="0.2">
      <c r="A494">
        <v>4930</v>
      </c>
      <c r="B494" t="s">
        <v>1825</v>
      </c>
      <c r="C494" t="s">
        <v>1761</v>
      </c>
      <c r="D494" t="s">
        <v>1224</v>
      </c>
      <c r="E494">
        <v>48.8945308642</v>
      </c>
      <c r="F494">
        <v>2.3140646544300001</v>
      </c>
    </row>
    <row r="495" spans="1:6" x14ac:dyDescent="0.2">
      <c r="A495">
        <v>4940</v>
      </c>
      <c r="B495" t="s">
        <v>1827</v>
      </c>
      <c r="C495" t="s">
        <v>1761</v>
      </c>
      <c r="D495" t="s">
        <v>1777</v>
      </c>
      <c r="E495">
        <v>48.889657434699998</v>
      </c>
      <c r="F495">
        <v>2.3031046176599999</v>
      </c>
    </row>
    <row r="496" spans="1:6" x14ac:dyDescent="0.2">
      <c r="A496">
        <v>4950</v>
      </c>
      <c r="B496" t="s">
        <v>2035</v>
      </c>
      <c r="C496" t="s">
        <v>1942</v>
      </c>
      <c r="D496" t="s">
        <v>1951</v>
      </c>
      <c r="E496">
        <v>48.894048284199997</v>
      </c>
      <c r="F496">
        <v>2.4803488703299998</v>
      </c>
    </row>
    <row r="497" spans="1:6" x14ac:dyDescent="0.2">
      <c r="A497">
        <v>4960</v>
      </c>
      <c r="B497" t="s">
        <v>2036</v>
      </c>
      <c r="C497" t="s">
        <v>1942</v>
      </c>
      <c r="D497" t="s">
        <v>1952</v>
      </c>
      <c r="E497">
        <v>48.893094628599997</v>
      </c>
      <c r="F497">
        <v>2.4879109876299998</v>
      </c>
    </row>
    <row r="498" spans="1:6" x14ac:dyDescent="0.2">
      <c r="A498">
        <v>4970</v>
      </c>
      <c r="B498" t="s">
        <v>2038</v>
      </c>
      <c r="C498" t="s">
        <v>1942</v>
      </c>
      <c r="D498" t="s">
        <v>1953</v>
      </c>
      <c r="E498">
        <v>48.892504761399998</v>
      </c>
      <c r="F498">
        <v>2.4993884572899998</v>
      </c>
    </row>
    <row r="499" spans="1:6" x14ac:dyDescent="0.2">
      <c r="A499">
        <v>4980</v>
      </c>
      <c r="B499" t="s">
        <v>2040</v>
      </c>
      <c r="C499" t="s">
        <v>1942</v>
      </c>
      <c r="D499" t="s">
        <v>1954</v>
      </c>
      <c r="E499">
        <v>48.897143818499998</v>
      </c>
      <c r="F499">
        <v>2.50640824702</v>
      </c>
    </row>
    <row r="500" spans="1:6" x14ac:dyDescent="0.2">
      <c r="A500">
        <v>4990</v>
      </c>
      <c r="B500" t="s">
        <v>2042</v>
      </c>
      <c r="C500" t="s">
        <v>1942</v>
      </c>
      <c r="D500" t="s">
        <v>1955</v>
      </c>
      <c r="E500">
        <v>48.902444190600001</v>
      </c>
      <c r="F500">
        <v>2.5116993032699999</v>
      </c>
    </row>
    <row r="501" spans="1:6" x14ac:dyDescent="0.2">
      <c r="A501">
        <v>5000</v>
      </c>
      <c r="B501" t="s">
        <v>2044</v>
      </c>
      <c r="C501" t="s">
        <v>1942</v>
      </c>
      <c r="D501" t="s">
        <v>1956</v>
      </c>
      <c r="E501">
        <v>48.908165415200003</v>
      </c>
      <c r="F501">
        <v>2.5170254953</v>
      </c>
    </row>
    <row r="502" spans="1:6" x14ac:dyDescent="0.2">
      <c r="A502">
        <v>5010</v>
      </c>
      <c r="B502" t="s">
        <v>2046</v>
      </c>
      <c r="C502" t="s">
        <v>1942</v>
      </c>
      <c r="D502" t="s">
        <v>1957</v>
      </c>
      <c r="E502">
        <v>48.916096504099997</v>
      </c>
      <c r="F502">
        <v>2.5150614461899998</v>
      </c>
    </row>
    <row r="503" spans="1:6" x14ac:dyDescent="0.2">
      <c r="A503">
        <v>5020</v>
      </c>
      <c r="B503" t="s">
        <v>2048</v>
      </c>
      <c r="C503" t="s">
        <v>1942</v>
      </c>
      <c r="D503" t="s">
        <v>1958</v>
      </c>
      <c r="E503">
        <v>48.921926143299999</v>
      </c>
      <c r="F503">
        <v>2.5164435351700001</v>
      </c>
    </row>
    <row r="504" spans="1:6" x14ac:dyDescent="0.2">
      <c r="A504">
        <v>5030</v>
      </c>
      <c r="B504" t="s">
        <v>2050</v>
      </c>
      <c r="C504" t="s">
        <v>1942</v>
      </c>
      <c r="D504" t="s">
        <v>1959</v>
      </c>
      <c r="E504">
        <v>48.926640202000002</v>
      </c>
      <c r="F504">
        <v>2.51910376383</v>
      </c>
    </row>
    <row r="505" spans="1:6" x14ac:dyDescent="0.2">
      <c r="A505">
        <v>5040</v>
      </c>
      <c r="B505" t="s">
        <v>2052</v>
      </c>
      <c r="C505" t="s">
        <v>1942</v>
      </c>
      <c r="D505" t="s">
        <v>1960</v>
      </c>
      <c r="E505">
        <v>48.930934182999998</v>
      </c>
      <c r="F505">
        <v>2.5150496624200001</v>
      </c>
    </row>
    <row r="506" spans="1:6" x14ac:dyDescent="0.2">
      <c r="A506">
        <v>5050</v>
      </c>
      <c r="B506" t="s">
        <v>2054</v>
      </c>
      <c r="C506" t="s">
        <v>1942</v>
      </c>
      <c r="D506" t="s">
        <v>1961</v>
      </c>
      <c r="E506">
        <v>48.931950242399999</v>
      </c>
      <c r="F506">
        <v>2.4962382812000001</v>
      </c>
    </row>
    <row r="507" spans="1:6" x14ac:dyDescent="0.2">
      <c r="A507">
        <v>5060</v>
      </c>
      <c r="B507" t="s">
        <v>2055</v>
      </c>
      <c r="C507" t="s">
        <v>1943</v>
      </c>
      <c r="D507" t="s">
        <v>1537</v>
      </c>
      <c r="E507">
        <v>48.938950157800001</v>
      </c>
      <c r="F507">
        <v>2.3563218674200002</v>
      </c>
    </row>
    <row r="508" spans="1:6" x14ac:dyDescent="0.2">
      <c r="A508">
        <v>5070</v>
      </c>
      <c r="B508" t="s">
        <v>2056</v>
      </c>
      <c r="C508" t="s">
        <v>1943</v>
      </c>
      <c r="D508" t="s">
        <v>1962</v>
      </c>
      <c r="E508">
        <v>48.942125455099998</v>
      </c>
      <c r="F508">
        <v>2.3567297415300001</v>
      </c>
    </row>
    <row r="509" spans="1:6" x14ac:dyDescent="0.2">
      <c r="A509">
        <v>5080</v>
      </c>
      <c r="B509" t="s">
        <v>2058</v>
      </c>
      <c r="C509" t="s">
        <v>1943</v>
      </c>
      <c r="D509" t="s">
        <v>1963</v>
      </c>
      <c r="E509">
        <v>48.944818932700002</v>
      </c>
      <c r="F509">
        <v>2.3570063551099998</v>
      </c>
    </row>
    <row r="510" spans="1:6" x14ac:dyDescent="0.2">
      <c r="A510">
        <v>5090</v>
      </c>
      <c r="B510" t="s">
        <v>2060</v>
      </c>
      <c r="C510" t="s">
        <v>1943</v>
      </c>
      <c r="D510" t="s">
        <v>1964</v>
      </c>
      <c r="E510">
        <v>48.948208128499999</v>
      </c>
      <c r="F510">
        <v>2.3574615262599998</v>
      </c>
    </row>
    <row r="511" spans="1:6" x14ac:dyDescent="0.2">
      <c r="A511">
        <v>5100</v>
      </c>
      <c r="B511" t="s">
        <v>2062</v>
      </c>
      <c r="C511" t="s">
        <v>1943</v>
      </c>
      <c r="D511" t="s">
        <v>1965</v>
      </c>
      <c r="E511">
        <v>48.952637882600001</v>
      </c>
      <c r="F511">
        <v>2.35797833108</v>
      </c>
    </row>
    <row r="512" spans="1:6" x14ac:dyDescent="0.2">
      <c r="A512">
        <v>5110</v>
      </c>
      <c r="B512" t="s">
        <v>2064</v>
      </c>
      <c r="C512" t="s">
        <v>1943</v>
      </c>
      <c r="D512" t="s">
        <v>1966</v>
      </c>
      <c r="E512">
        <v>48.955576348000001</v>
      </c>
      <c r="F512">
        <v>2.35832285615</v>
      </c>
    </row>
    <row r="513" spans="1:6" x14ac:dyDescent="0.2">
      <c r="A513">
        <v>5120</v>
      </c>
      <c r="B513" t="s">
        <v>2066</v>
      </c>
      <c r="C513" t="s">
        <v>1943</v>
      </c>
      <c r="D513" t="s">
        <v>1967</v>
      </c>
      <c r="E513">
        <v>48.959121098300002</v>
      </c>
      <c r="F513">
        <v>2.3587425044799999</v>
      </c>
    </row>
    <row r="514" spans="1:6" x14ac:dyDescent="0.2">
      <c r="A514">
        <v>5130</v>
      </c>
      <c r="B514" t="s">
        <v>2068</v>
      </c>
      <c r="C514" t="s">
        <v>1943</v>
      </c>
      <c r="D514" t="s">
        <v>1968</v>
      </c>
      <c r="E514">
        <v>48.963517946400003</v>
      </c>
      <c r="F514">
        <v>2.3602507586499999</v>
      </c>
    </row>
    <row r="515" spans="1:6" x14ac:dyDescent="0.2">
      <c r="A515">
        <v>5140</v>
      </c>
      <c r="B515" t="s">
        <v>2070</v>
      </c>
      <c r="C515" t="s">
        <v>1943</v>
      </c>
      <c r="D515" t="s">
        <v>1969</v>
      </c>
      <c r="E515">
        <v>48.965855574400003</v>
      </c>
      <c r="F515">
        <v>2.3635722239699999</v>
      </c>
    </row>
    <row r="516" spans="1:6" x14ac:dyDescent="0.2">
      <c r="A516">
        <v>5150</v>
      </c>
      <c r="B516" t="s">
        <v>2072</v>
      </c>
      <c r="C516" t="s">
        <v>1943</v>
      </c>
      <c r="D516" t="s">
        <v>1970</v>
      </c>
      <c r="E516">
        <v>48.970883404200002</v>
      </c>
      <c r="F516">
        <v>2.3660038891099999</v>
      </c>
    </row>
    <row r="517" spans="1:6" x14ac:dyDescent="0.2">
      <c r="A517">
        <v>5160</v>
      </c>
      <c r="B517" t="s">
        <v>2074</v>
      </c>
      <c r="C517" t="s">
        <v>1943</v>
      </c>
      <c r="D517" t="s">
        <v>1971</v>
      </c>
      <c r="E517">
        <v>48.973659013000002</v>
      </c>
      <c r="F517">
        <v>2.3660517156799998</v>
      </c>
    </row>
    <row r="518" spans="1:6" x14ac:dyDescent="0.2">
      <c r="A518">
        <v>5170</v>
      </c>
      <c r="B518" t="s">
        <v>2076</v>
      </c>
      <c r="C518" t="s">
        <v>1943</v>
      </c>
      <c r="D518" t="s">
        <v>1972</v>
      </c>
      <c r="E518">
        <v>48.977493090000003</v>
      </c>
      <c r="F518">
        <v>2.37224292371</v>
      </c>
    </row>
    <row r="519" spans="1:6" x14ac:dyDescent="0.2">
      <c r="A519">
        <v>5180</v>
      </c>
      <c r="B519" t="s">
        <v>2078</v>
      </c>
      <c r="C519" t="s">
        <v>1943</v>
      </c>
      <c r="D519" t="s">
        <v>1973</v>
      </c>
      <c r="E519">
        <v>48.976665691400001</v>
      </c>
      <c r="F519">
        <v>2.3774196733099999</v>
      </c>
    </row>
    <row r="520" spans="1:6" x14ac:dyDescent="0.2">
      <c r="A520">
        <v>5190</v>
      </c>
      <c r="B520" t="s">
        <v>2080</v>
      </c>
      <c r="C520" t="s">
        <v>1943</v>
      </c>
      <c r="D520" t="s">
        <v>1974</v>
      </c>
      <c r="E520">
        <v>48.9792761263</v>
      </c>
      <c r="F520">
        <v>2.3802042543300002</v>
      </c>
    </row>
    <row r="521" spans="1:6" x14ac:dyDescent="0.2">
      <c r="A521">
        <v>5200</v>
      </c>
      <c r="B521" t="s">
        <v>2082</v>
      </c>
      <c r="C521" t="s">
        <v>1943</v>
      </c>
      <c r="D521" t="s">
        <v>1975</v>
      </c>
      <c r="E521">
        <v>48.9785246243</v>
      </c>
      <c r="F521">
        <v>2.3850491920099999</v>
      </c>
    </row>
    <row r="522" spans="1:6" x14ac:dyDescent="0.2">
      <c r="A522">
        <v>5210</v>
      </c>
      <c r="B522" t="s">
        <v>2084</v>
      </c>
      <c r="C522" t="s">
        <v>1943</v>
      </c>
      <c r="D522" t="s">
        <v>1976</v>
      </c>
      <c r="E522">
        <v>48.977160715499998</v>
      </c>
      <c r="F522">
        <v>2.3906748809299998</v>
      </c>
    </row>
    <row r="523" spans="1:6" x14ac:dyDescent="0.2">
      <c r="A523">
        <v>5220</v>
      </c>
      <c r="B523" t="s">
        <v>2085</v>
      </c>
      <c r="C523" t="s">
        <v>1944</v>
      </c>
      <c r="D523" t="s">
        <v>1977</v>
      </c>
      <c r="E523">
        <v>48.805704154899999</v>
      </c>
      <c r="F523">
        <v>2.1690700494300001</v>
      </c>
    </row>
    <row r="524" spans="1:6" x14ac:dyDescent="0.2">
      <c r="A524">
        <v>5230</v>
      </c>
      <c r="B524" t="s">
        <v>2086</v>
      </c>
      <c r="C524" t="s">
        <v>1944</v>
      </c>
      <c r="D524" t="s">
        <v>1978</v>
      </c>
      <c r="E524">
        <v>48.801077611399997</v>
      </c>
      <c r="F524">
        <v>2.17096740108</v>
      </c>
    </row>
    <row r="525" spans="1:6" x14ac:dyDescent="0.2">
      <c r="A525">
        <v>5240</v>
      </c>
      <c r="B525" t="s">
        <v>2088</v>
      </c>
      <c r="C525" t="s">
        <v>1944</v>
      </c>
      <c r="D525" t="s">
        <v>1979</v>
      </c>
      <c r="E525">
        <v>48.785121413299997</v>
      </c>
      <c r="F525">
        <v>2.17879859027</v>
      </c>
    </row>
    <row r="526" spans="1:6" x14ac:dyDescent="0.2">
      <c r="A526">
        <v>5250</v>
      </c>
      <c r="B526" t="s">
        <v>2090</v>
      </c>
      <c r="C526" t="s">
        <v>1944</v>
      </c>
      <c r="D526" t="s">
        <v>1980</v>
      </c>
      <c r="E526">
        <v>48.781986672499997</v>
      </c>
      <c r="F526">
        <v>2.1804937509300002</v>
      </c>
    </row>
    <row r="527" spans="1:6" x14ac:dyDescent="0.2">
      <c r="A527">
        <v>5260</v>
      </c>
      <c r="B527" t="s">
        <v>2092</v>
      </c>
      <c r="C527" t="s">
        <v>1944</v>
      </c>
      <c r="D527" t="s">
        <v>1981</v>
      </c>
      <c r="E527">
        <v>48.780454711499999</v>
      </c>
      <c r="F527">
        <v>2.1914099192699998</v>
      </c>
    </row>
    <row r="528" spans="1:6" x14ac:dyDescent="0.2">
      <c r="A528">
        <v>5270</v>
      </c>
      <c r="B528" t="s">
        <v>2094</v>
      </c>
      <c r="C528" t="s">
        <v>1944</v>
      </c>
      <c r="D528" t="s">
        <v>1982</v>
      </c>
      <c r="E528">
        <v>48.780087152</v>
      </c>
      <c r="F528">
        <v>2.1965058124899999</v>
      </c>
    </row>
    <row r="529" spans="1:6" x14ac:dyDescent="0.2">
      <c r="A529">
        <v>5280</v>
      </c>
      <c r="B529" t="s">
        <v>2096</v>
      </c>
      <c r="C529" t="s">
        <v>1944</v>
      </c>
      <c r="D529" t="s">
        <v>1983</v>
      </c>
      <c r="E529">
        <v>48.781404320900002</v>
      </c>
      <c r="F529">
        <v>2.2091292272900001</v>
      </c>
    </row>
    <row r="530" spans="1:6" x14ac:dyDescent="0.2">
      <c r="A530">
        <v>5290</v>
      </c>
      <c r="B530" t="s">
        <v>2098</v>
      </c>
      <c r="C530" t="s">
        <v>1944</v>
      </c>
      <c r="D530" t="s">
        <v>1984</v>
      </c>
      <c r="E530">
        <v>48.783624622200001</v>
      </c>
      <c r="F530">
        <v>2.2144335020499999</v>
      </c>
    </row>
    <row r="531" spans="1:6" x14ac:dyDescent="0.2">
      <c r="A531">
        <v>5300</v>
      </c>
      <c r="B531" t="s">
        <v>2100</v>
      </c>
      <c r="C531" t="s">
        <v>1944</v>
      </c>
      <c r="D531" t="s">
        <v>1985</v>
      </c>
      <c r="E531">
        <v>48.784969763299998</v>
      </c>
      <c r="F531">
        <v>2.2200095168599998</v>
      </c>
    </row>
    <row r="532" spans="1:6" x14ac:dyDescent="0.2">
      <c r="A532">
        <v>5310</v>
      </c>
      <c r="B532" t="s">
        <v>2102</v>
      </c>
      <c r="C532" t="s">
        <v>1944</v>
      </c>
      <c r="D532" t="s">
        <v>1986</v>
      </c>
      <c r="E532">
        <v>48.783539332799997</v>
      </c>
      <c r="F532">
        <v>2.2252802952800002</v>
      </c>
    </row>
    <row r="533" spans="1:6" x14ac:dyDescent="0.2">
      <c r="A533">
        <v>5320</v>
      </c>
      <c r="B533" t="s">
        <v>2104</v>
      </c>
      <c r="C533" t="s">
        <v>1944</v>
      </c>
      <c r="D533" t="s">
        <v>1987</v>
      </c>
      <c r="E533">
        <v>48.783500975700001</v>
      </c>
      <c r="F533">
        <v>2.2309835589400002</v>
      </c>
    </row>
    <row r="534" spans="1:6" x14ac:dyDescent="0.2">
      <c r="A534">
        <v>5330</v>
      </c>
      <c r="B534" t="s">
        <v>2106</v>
      </c>
      <c r="C534" t="s">
        <v>1944</v>
      </c>
      <c r="D534" t="s">
        <v>1988</v>
      </c>
      <c r="E534">
        <v>48.7849021663</v>
      </c>
      <c r="F534">
        <v>2.2371327049700001</v>
      </c>
    </row>
    <row r="535" spans="1:6" x14ac:dyDescent="0.2">
      <c r="A535">
        <v>5340</v>
      </c>
      <c r="B535" t="s">
        <v>2108</v>
      </c>
      <c r="C535" t="s">
        <v>1944</v>
      </c>
      <c r="D535" t="s">
        <v>1989</v>
      </c>
      <c r="E535">
        <v>48.7807309692</v>
      </c>
      <c r="F535">
        <v>2.2398320176199999</v>
      </c>
    </row>
    <row r="536" spans="1:6" x14ac:dyDescent="0.2">
      <c r="A536">
        <v>5350</v>
      </c>
      <c r="B536" t="s">
        <v>2110</v>
      </c>
      <c r="C536" t="s">
        <v>1944</v>
      </c>
      <c r="D536" t="s">
        <v>1990</v>
      </c>
      <c r="E536">
        <v>48.783687215199997</v>
      </c>
      <c r="F536">
        <v>2.2469776491600002</v>
      </c>
    </row>
    <row r="537" spans="1:6" x14ac:dyDescent="0.2">
      <c r="A537">
        <v>5360</v>
      </c>
      <c r="B537" t="s">
        <v>2112</v>
      </c>
      <c r="C537" t="s">
        <v>1944</v>
      </c>
      <c r="D537" t="s">
        <v>1991</v>
      </c>
      <c r="E537">
        <v>48.786716182200003</v>
      </c>
      <c r="F537">
        <v>2.2545021520400002</v>
      </c>
    </row>
    <row r="538" spans="1:6" x14ac:dyDescent="0.2">
      <c r="A538">
        <v>5370</v>
      </c>
      <c r="B538" t="s">
        <v>2114</v>
      </c>
      <c r="C538" t="s">
        <v>1944</v>
      </c>
      <c r="D538" t="s">
        <v>1992</v>
      </c>
      <c r="E538">
        <v>48.790333001900002</v>
      </c>
      <c r="F538">
        <v>2.2633891660200001</v>
      </c>
    </row>
    <row r="539" spans="1:6" x14ac:dyDescent="0.2">
      <c r="A539">
        <v>5380</v>
      </c>
      <c r="B539" t="s">
        <v>2116</v>
      </c>
      <c r="C539" t="s">
        <v>1944</v>
      </c>
      <c r="D539" t="s">
        <v>1993</v>
      </c>
      <c r="E539">
        <v>48.794468884499999</v>
      </c>
      <c r="F539">
        <v>2.2726503446600002</v>
      </c>
    </row>
    <row r="540" spans="1:6" x14ac:dyDescent="0.2">
      <c r="A540">
        <v>5390</v>
      </c>
      <c r="B540" t="s">
        <v>2118</v>
      </c>
      <c r="C540" t="s">
        <v>1944</v>
      </c>
      <c r="D540" t="s">
        <v>1994</v>
      </c>
      <c r="E540">
        <v>48.799887383200002</v>
      </c>
      <c r="F540">
        <v>2.2819513201700001</v>
      </c>
    </row>
    <row r="541" spans="1:6" x14ac:dyDescent="0.2">
      <c r="A541">
        <v>5400</v>
      </c>
      <c r="B541" t="s">
        <v>2120</v>
      </c>
      <c r="C541" t="s">
        <v>1944</v>
      </c>
      <c r="D541" t="s">
        <v>1995</v>
      </c>
      <c r="E541">
        <v>48.804204938300003</v>
      </c>
      <c r="F541">
        <v>2.2890572535999998</v>
      </c>
    </row>
    <row r="542" spans="1:6" x14ac:dyDescent="0.2">
      <c r="A542">
        <v>5410</v>
      </c>
      <c r="B542" t="s">
        <v>2122</v>
      </c>
      <c r="C542" t="s">
        <v>1944</v>
      </c>
      <c r="D542" t="s">
        <v>1996</v>
      </c>
      <c r="E542">
        <v>48.807169846800001</v>
      </c>
      <c r="F542">
        <v>2.2940912443200001</v>
      </c>
    </row>
    <row r="543" spans="1:6" x14ac:dyDescent="0.2">
      <c r="A543">
        <v>5420</v>
      </c>
      <c r="B543" t="s">
        <v>2124</v>
      </c>
      <c r="C543" t="s">
        <v>1944</v>
      </c>
      <c r="D543" t="s">
        <v>1236</v>
      </c>
      <c r="E543">
        <v>48.810601094500001</v>
      </c>
      <c r="F543">
        <v>2.3003574744300002</v>
      </c>
    </row>
    <row r="544" spans="1:6" x14ac:dyDescent="0.2">
      <c r="A544">
        <v>5430</v>
      </c>
      <c r="B544" t="s">
        <v>2125</v>
      </c>
      <c r="C544" t="s">
        <v>1945</v>
      </c>
      <c r="D544" t="s">
        <v>525</v>
      </c>
      <c r="E544">
        <v>48.787280350000003</v>
      </c>
      <c r="F544">
        <v>2.36698844495</v>
      </c>
    </row>
    <row r="545" spans="1:6" x14ac:dyDescent="0.2">
      <c r="A545">
        <v>5440</v>
      </c>
      <c r="B545" t="s">
        <v>2126</v>
      </c>
      <c r="C545" t="s">
        <v>1945</v>
      </c>
      <c r="D545" t="s">
        <v>1997</v>
      </c>
      <c r="E545">
        <v>48.783107550399997</v>
      </c>
      <c r="F545">
        <v>2.3671578333199998</v>
      </c>
    </row>
    <row r="546" spans="1:6" x14ac:dyDescent="0.2">
      <c r="A546">
        <v>5450</v>
      </c>
      <c r="B546" t="s">
        <v>2128</v>
      </c>
      <c r="C546" t="s">
        <v>1945</v>
      </c>
      <c r="D546" t="s">
        <v>1998</v>
      </c>
      <c r="E546">
        <v>48.778936393099997</v>
      </c>
      <c r="F546">
        <v>2.3674058644999998</v>
      </c>
    </row>
    <row r="547" spans="1:6" x14ac:dyDescent="0.2">
      <c r="A547">
        <v>5460</v>
      </c>
      <c r="B547" t="s">
        <v>2130</v>
      </c>
      <c r="C547" t="s">
        <v>1945</v>
      </c>
      <c r="D547" t="s">
        <v>1999</v>
      </c>
      <c r="E547">
        <v>48.772074216599997</v>
      </c>
      <c r="F547">
        <v>2.3678150016299999</v>
      </c>
    </row>
    <row r="548" spans="1:6" x14ac:dyDescent="0.2">
      <c r="A548">
        <v>5470</v>
      </c>
      <c r="B548" t="s">
        <v>2132</v>
      </c>
      <c r="C548" t="s">
        <v>1945</v>
      </c>
      <c r="D548" t="s">
        <v>2000</v>
      </c>
      <c r="E548">
        <v>48.768221780399998</v>
      </c>
      <c r="F548">
        <v>2.3680415206699998</v>
      </c>
    </row>
    <row r="549" spans="1:6" x14ac:dyDescent="0.2">
      <c r="A549">
        <v>5480</v>
      </c>
      <c r="B549" t="s">
        <v>2134</v>
      </c>
      <c r="C549" t="s">
        <v>1945</v>
      </c>
      <c r="D549" t="s">
        <v>2001</v>
      </c>
      <c r="E549">
        <v>48.763375152999998</v>
      </c>
      <c r="F549">
        <v>2.3677905357300002</v>
      </c>
    </row>
    <row r="550" spans="1:6" x14ac:dyDescent="0.2">
      <c r="A550">
        <v>5490</v>
      </c>
      <c r="B550" t="s">
        <v>2136</v>
      </c>
      <c r="C550" t="s">
        <v>1945</v>
      </c>
      <c r="D550" t="s">
        <v>2002</v>
      </c>
      <c r="E550">
        <v>48.759573535299999</v>
      </c>
      <c r="F550">
        <v>2.3663980000399998</v>
      </c>
    </row>
    <row r="551" spans="1:6" x14ac:dyDescent="0.2">
      <c r="A551">
        <v>5500</v>
      </c>
      <c r="B551" t="s">
        <v>2138</v>
      </c>
      <c r="C551" t="s">
        <v>1945</v>
      </c>
      <c r="D551" t="s">
        <v>2003</v>
      </c>
      <c r="E551">
        <v>48.756739433500002</v>
      </c>
      <c r="F551">
        <v>2.3683646986300002</v>
      </c>
    </row>
    <row r="552" spans="1:6" x14ac:dyDescent="0.2">
      <c r="A552">
        <v>5510</v>
      </c>
      <c r="B552" t="s">
        <v>2140</v>
      </c>
      <c r="C552" t="s">
        <v>1945</v>
      </c>
      <c r="D552" t="s">
        <v>2004</v>
      </c>
      <c r="E552">
        <v>48.752811359699997</v>
      </c>
      <c r="F552">
        <v>2.3619521525799998</v>
      </c>
    </row>
    <row r="553" spans="1:6" x14ac:dyDescent="0.2">
      <c r="A553">
        <v>5520</v>
      </c>
      <c r="B553" t="s">
        <v>2142</v>
      </c>
      <c r="C553" t="s">
        <v>1945</v>
      </c>
      <c r="D553" t="s">
        <v>2005</v>
      </c>
      <c r="E553">
        <v>48.752674351800003</v>
      </c>
      <c r="F553">
        <v>2.3553609890799998</v>
      </c>
    </row>
    <row r="554" spans="1:6" x14ac:dyDescent="0.2">
      <c r="A554">
        <v>5530</v>
      </c>
      <c r="B554" t="s">
        <v>2144</v>
      </c>
      <c r="C554" t="s">
        <v>1945</v>
      </c>
      <c r="D554" t="s">
        <v>2006</v>
      </c>
      <c r="E554">
        <v>48.750174037100003</v>
      </c>
      <c r="F554">
        <v>2.3543672791499999</v>
      </c>
    </row>
    <row r="555" spans="1:6" x14ac:dyDescent="0.2">
      <c r="A555">
        <v>5540</v>
      </c>
      <c r="B555" t="s">
        <v>2146</v>
      </c>
      <c r="C555" t="s">
        <v>1945</v>
      </c>
      <c r="D555" t="s">
        <v>2007</v>
      </c>
      <c r="E555">
        <v>48.746568586599999</v>
      </c>
      <c r="F555">
        <v>2.3528753413399999</v>
      </c>
    </row>
    <row r="556" spans="1:6" x14ac:dyDescent="0.2">
      <c r="A556">
        <v>5550</v>
      </c>
      <c r="B556" t="s">
        <v>2148</v>
      </c>
      <c r="C556" t="s">
        <v>1945</v>
      </c>
      <c r="D556" t="s">
        <v>2008</v>
      </c>
      <c r="E556">
        <v>48.741684493100003</v>
      </c>
      <c r="F556">
        <v>2.35279538131</v>
      </c>
    </row>
    <row r="557" spans="1:6" x14ac:dyDescent="0.2">
      <c r="A557">
        <v>5560</v>
      </c>
      <c r="B557" t="s">
        <v>2150</v>
      </c>
      <c r="C557" t="s">
        <v>1945</v>
      </c>
      <c r="D557" t="s">
        <v>2009</v>
      </c>
      <c r="E557">
        <v>48.739987430399999</v>
      </c>
      <c r="F557">
        <v>2.3594678211</v>
      </c>
    </row>
    <row r="558" spans="1:6" x14ac:dyDescent="0.2">
      <c r="A558">
        <v>5570</v>
      </c>
      <c r="B558" t="s">
        <v>2152</v>
      </c>
      <c r="C558" t="s">
        <v>1945</v>
      </c>
      <c r="D558" t="s">
        <v>2010</v>
      </c>
      <c r="E558">
        <v>48.738562777299997</v>
      </c>
      <c r="F558">
        <v>2.3699101466800001</v>
      </c>
    </row>
    <row r="559" spans="1:6" x14ac:dyDescent="0.2">
      <c r="A559">
        <v>5580</v>
      </c>
      <c r="B559" t="s">
        <v>2154</v>
      </c>
      <c r="C559" t="s">
        <v>1945</v>
      </c>
      <c r="D559" t="s">
        <v>2011</v>
      </c>
      <c r="E559">
        <v>48.734088162100001</v>
      </c>
      <c r="F559">
        <v>2.3712503762199999</v>
      </c>
    </row>
    <row r="560" spans="1:6" x14ac:dyDescent="0.2">
      <c r="A560">
        <v>5590</v>
      </c>
      <c r="B560" t="s">
        <v>2156</v>
      </c>
      <c r="C560" t="s">
        <v>1945</v>
      </c>
      <c r="D560" t="s">
        <v>2012</v>
      </c>
      <c r="E560">
        <v>48.729550722699997</v>
      </c>
      <c r="F560">
        <v>2.3682641286199999</v>
      </c>
    </row>
    <row r="561" spans="1:6" x14ac:dyDescent="0.2">
      <c r="A561">
        <v>5600</v>
      </c>
      <c r="B561" t="s">
        <v>2158</v>
      </c>
      <c r="C561" t="s">
        <v>1945</v>
      </c>
      <c r="D561" t="s">
        <v>2013</v>
      </c>
      <c r="E561">
        <v>48.714512725299997</v>
      </c>
      <c r="F561">
        <v>2.3717471434599999</v>
      </c>
    </row>
    <row r="562" spans="1:6" x14ac:dyDescent="0.2">
      <c r="A562">
        <v>5610</v>
      </c>
      <c r="B562" t="s">
        <v>2159</v>
      </c>
      <c r="C562" t="s">
        <v>1947</v>
      </c>
      <c r="D562" t="s">
        <v>2014</v>
      </c>
      <c r="E562">
        <v>48.9555044771</v>
      </c>
      <c r="F562">
        <v>2.2955916949000001</v>
      </c>
    </row>
    <row r="563" spans="1:6" x14ac:dyDescent="0.2">
      <c r="A563">
        <v>5620</v>
      </c>
      <c r="B563" t="s">
        <v>2160</v>
      </c>
      <c r="C563" t="s">
        <v>1947</v>
      </c>
      <c r="D563" t="s">
        <v>2015</v>
      </c>
      <c r="E563">
        <v>48.955843047499997</v>
      </c>
      <c r="F563">
        <v>2.3022227418100001</v>
      </c>
    </row>
    <row r="564" spans="1:6" x14ac:dyDescent="0.2">
      <c r="A564">
        <v>5630</v>
      </c>
      <c r="B564" t="s">
        <v>2162</v>
      </c>
      <c r="C564" t="s">
        <v>1947</v>
      </c>
      <c r="D564" t="s">
        <v>2016</v>
      </c>
      <c r="E564">
        <v>48.955437426099998</v>
      </c>
      <c r="F564">
        <v>2.3078725683500001</v>
      </c>
    </row>
    <row r="565" spans="1:6" x14ac:dyDescent="0.2">
      <c r="A565">
        <v>5640</v>
      </c>
      <c r="B565" t="s">
        <v>2164</v>
      </c>
      <c r="C565" t="s">
        <v>1947</v>
      </c>
      <c r="D565" t="s">
        <v>2017</v>
      </c>
      <c r="E565">
        <v>48.9558768749</v>
      </c>
      <c r="F565">
        <v>2.31152630869</v>
      </c>
    </row>
    <row r="566" spans="1:6" x14ac:dyDescent="0.2">
      <c r="A566">
        <v>5650</v>
      </c>
      <c r="B566" t="s">
        <v>2166</v>
      </c>
      <c r="C566" t="s">
        <v>1947</v>
      </c>
      <c r="D566" t="s">
        <v>2018</v>
      </c>
      <c r="E566">
        <v>48.953168246799997</v>
      </c>
      <c r="F566">
        <v>2.3154036121099999</v>
      </c>
    </row>
    <row r="567" spans="1:6" x14ac:dyDescent="0.2">
      <c r="A567">
        <v>5660</v>
      </c>
      <c r="B567" t="s">
        <v>2168</v>
      </c>
      <c r="C567" t="s">
        <v>1947</v>
      </c>
      <c r="D567" t="s">
        <v>2019</v>
      </c>
      <c r="E567">
        <v>48.951708783599997</v>
      </c>
      <c r="F567">
        <v>2.3202165216699999</v>
      </c>
    </row>
    <row r="568" spans="1:6" x14ac:dyDescent="0.2">
      <c r="A568">
        <v>5670</v>
      </c>
      <c r="B568" t="s">
        <v>2170</v>
      </c>
      <c r="C568" t="s">
        <v>1947</v>
      </c>
      <c r="D568" t="s">
        <v>2020</v>
      </c>
      <c r="E568">
        <v>48.949937735699997</v>
      </c>
      <c r="F568">
        <v>2.3288321713500002</v>
      </c>
    </row>
    <row r="569" spans="1:6" x14ac:dyDescent="0.2">
      <c r="A569">
        <v>5680</v>
      </c>
      <c r="B569" t="s">
        <v>2172</v>
      </c>
      <c r="C569" t="s">
        <v>1947</v>
      </c>
      <c r="D569" t="s">
        <v>2021</v>
      </c>
      <c r="E569">
        <v>48.947807649600001</v>
      </c>
      <c r="F569">
        <v>2.3391809234199998</v>
      </c>
    </row>
    <row r="570" spans="1:6" x14ac:dyDescent="0.2">
      <c r="A570">
        <v>5690</v>
      </c>
      <c r="B570" t="s">
        <v>2174</v>
      </c>
      <c r="C570" t="s">
        <v>1947</v>
      </c>
      <c r="D570" t="s">
        <v>2022</v>
      </c>
      <c r="E570">
        <v>48.945555539200001</v>
      </c>
      <c r="F570">
        <v>2.3473129251699998</v>
      </c>
    </row>
    <row r="571" spans="1:6" x14ac:dyDescent="0.2">
      <c r="A571">
        <v>5700</v>
      </c>
      <c r="B571" t="s">
        <v>2176</v>
      </c>
      <c r="C571" t="s">
        <v>1947</v>
      </c>
      <c r="D571" t="s">
        <v>2023</v>
      </c>
      <c r="E571">
        <v>48.959318144199997</v>
      </c>
      <c r="F571">
        <v>2.3420538013900001</v>
      </c>
    </row>
    <row r="572" spans="1:6" x14ac:dyDescent="0.2">
      <c r="A572">
        <v>5710</v>
      </c>
      <c r="B572" t="s">
        <v>2177</v>
      </c>
      <c r="C572" t="s">
        <v>1947</v>
      </c>
      <c r="D572" t="s">
        <v>2024</v>
      </c>
      <c r="E572">
        <v>48.956671845999999</v>
      </c>
      <c r="F572">
        <v>2.3431092357300001</v>
      </c>
    </row>
    <row r="573" spans="1:6" x14ac:dyDescent="0.2">
      <c r="A573">
        <v>5720</v>
      </c>
      <c r="B573" t="s">
        <v>2179</v>
      </c>
      <c r="C573" t="s">
        <v>1947</v>
      </c>
      <c r="D573" t="s">
        <v>2025</v>
      </c>
      <c r="E573">
        <v>48.952726329900003</v>
      </c>
      <c r="F573">
        <v>2.3434612795300001</v>
      </c>
    </row>
    <row r="574" spans="1:6" x14ac:dyDescent="0.2">
      <c r="A574">
        <v>5730</v>
      </c>
      <c r="B574" t="s">
        <v>2181</v>
      </c>
      <c r="C574" t="s">
        <v>1947</v>
      </c>
      <c r="D574" t="s">
        <v>2026</v>
      </c>
      <c r="E574">
        <v>48.9495813451</v>
      </c>
      <c r="F574">
        <v>2.34252182604</v>
      </c>
    </row>
    <row r="575" spans="1:6" x14ac:dyDescent="0.2">
      <c r="A575">
        <v>5740</v>
      </c>
      <c r="B575" t="s">
        <v>2183</v>
      </c>
      <c r="C575" t="s">
        <v>1947</v>
      </c>
      <c r="D575" t="s">
        <v>2027</v>
      </c>
      <c r="E575">
        <v>48.939688708699997</v>
      </c>
      <c r="F575">
        <v>2.3452075059299999</v>
      </c>
    </row>
    <row r="576" spans="1:6" x14ac:dyDescent="0.2">
      <c r="A576">
        <v>5750</v>
      </c>
      <c r="B576" t="s">
        <v>2185</v>
      </c>
      <c r="C576" t="s">
        <v>1947</v>
      </c>
      <c r="D576" t="s">
        <v>1535</v>
      </c>
      <c r="E576">
        <v>48.9352661458</v>
      </c>
      <c r="F576">
        <v>2.3478624077600001</v>
      </c>
    </row>
    <row r="577" spans="1:6" x14ac:dyDescent="0.2">
      <c r="A577">
        <v>5760</v>
      </c>
      <c r="B577" t="s">
        <v>2187</v>
      </c>
      <c r="C577" t="s">
        <v>1947</v>
      </c>
      <c r="D577" t="s">
        <v>2028</v>
      </c>
      <c r="E577">
        <v>48.932051822699997</v>
      </c>
      <c r="F577">
        <v>2.3527019843899999</v>
      </c>
    </row>
    <row r="578" spans="1:6" x14ac:dyDescent="0.2">
      <c r="A578">
        <v>5770</v>
      </c>
      <c r="B578" t="s">
        <v>2189</v>
      </c>
      <c r="C578" t="s">
        <v>1947</v>
      </c>
      <c r="D578" t="s">
        <v>2029</v>
      </c>
      <c r="E578">
        <v>48.929816427399999</v>
      </c>
      <c r="F578">
        <v>2.3572920708799998</v>
      </c>
    </row>
    <row r="579" spans="1:6" x14ac:dyDescent="0.2">
      <c r="A579">
        <v>5780</v>
      </c>
      <c r="B579" t="s">
        <v>2190</v>
      </c>
      <c r="C579" t="s">
        <v>1946</v>
      </c>
      <c r="D579" t="s">
        <v>2015</v>
      </c>
      <c r="E579">
        <v>48.9545625628</v>
      </c>
      <c r="F579">
        <v>2.3023050820300002</v>
      </c>
    </row>
    <row r="580" spans="1:6" x14ac:dyDescent="0.2">
      <c r="A580">
        <v>5790</v>
      </c>
      <c r="B580" t="s">
        <v>2191</v>
      </c>
      <c r="C580" t="s">
        <v>1946</v>
      </c>
      <c r="D580" t="s">
        <v>2030</v>
      </c>
      <c r="E580">
        <v>48.959128020999998</v>
      </c>
      <c r="F580">
        <v>2.3292756997600002</v>
      </c>
    </row>
    <row r="581" spans="1:6" x14ac:dyDescent="0.2">
      <c r="A581">
        <v>5800</v>
      </c>
      <c r="B581" t="s">
        <v>2193</v>
      </c>
      <c r="C581" t="s">
        <v>1946</v>
      </c>
      <c r="D581" t="s">
        <v>2023</v>
      </c>
      <c r="E581">
        <v>48.9600337639</v>
      </c>
      <c r="F581">
        <v>2.3434145438799998</v>
      </c>
    </row>
    <row r="582" spans="1:6" x14ac:dyDescent="0.2">
      <c r="A582">
        <v>5810</v>
      </c>
      <c r="B582" t="s">
        <v>2195</v>
      </c>
      <c r="C582" t="s">
        <v>1946</v>
      </c>
      <c r="D582" t="s">
        <v>2031</v>
      </c>
      <c r="E582">
        <v>48.960162886900001</v>
      </c>
      <c r="F582">
        <v>2.3658421076599998</v>
      </c>
    </row>
    <row r="583" spans="1:6" x14ac:dyDescent="0.2">
      <c r="A583">
        <v>5820</v>
      </c>
      <c r="B583" t="s">
        <v>2197</v>
      </c>
      <c r="C583" t="s">
        <v>1946</v>
      </c>
      <c r="D583" t="s">
        <v>2032</v>
      </c>
      <c r="E583">
        <v>48.954929004500002</v>
      </c>
      <c r="F583">
        <v>2.39095508616</v>
      </c>
    </row>
    <row r="584" spans="1:6" x14ac:dyDescent="0.2">
      <c r="A584">
        <v>5830</v>
      </c>
      <c r="B584" t="s">
        <v>2199</v>
      </c>
      <c r="C584" t="s">
        <v>1946</v>
      </c>
      <c r="D584" t="s">
        <v>2033</v>
      </c>
      <c r="E584">
        <v>48.943630006699998</v>
      </c>
      <c r="F584">
        <v>2.4114734870099999</v>
      </c>
    </row>
    <row r="585" spans="1:6" x14ac:dyDescent="0.2">
      <c r="A585">
        <v>5840</v>
      </c>
      <c r="B585" t="s">
        <v>2201</v>
      </c>
      <c r="C585" t="s">
        <v>1946</v>
      </c>
      <c r="D585" t="s">
        <v>2034</v>
      </c>
      <c r="E585">
        <v>48.930206178900001</v>
      </c>
      <c r="F585">
        <v>2.42346455238</v>
      </c>
    </row>
    <row r="586" spans="1:6" x14ac:dyDescent="0.2">
      <c r="A586">
        <v>5850</v>
      </c>
      <c r="B586" t="s">
        <v>2351</v>
      </c>
      <c r="C586" t="s">
        <v>2344</v>
      </c>
      <c r="D586" t="s">
        <v>2345</v>
      </c>
      <c r="E586">
        <v>49.047876203400001</v>
      </c>
      <c r="F586">
        <v>2.0109997599999998</v>
      </c>
    </row>
    <row r="587" spans="1:6" x14ac:dyDescent="0.2">
      <c r="A587">
        <v>5860</v>
      </c>
      <c r="B587" t="s">
        <v>2352</v>
      </c>
      <c r="C587" t="s">
        <v>2344</v>
      </c>
      <c r="D587" t="s">
        <v>2346</v>
      </c>
      <c r="E587">
        <v>49.049647005200001</v>
      </c>
      <c r="F587">
        <v>2.03429446048</v>
      </c>
    </row>
    <row r="588" spans="1:6" x14ac:dyDescent="0.2">
      <c r="A588">
        <v>5870</v>
      </c>
      <c r="B588" t="s">
        <v>2353</v>
      </c>
      <c r="C588" t="s">
        <v>2344</v>
      </c>
      <c r="D588" t="s">
        <v>2347</v>
      </c>
      <c r="E588">
        <v>49.036463980699999</v>
      </c>
      <c r="F588">
        <v>2.0795349399999998</v>
      </c>
    </row>
    <row r="589" spans="1:6" x14ac:dyDescent="0.2">
      <c r="A589">
        <v>5880</v>
      </c>
      <c r="B589" t="s">
        <v>2354</v>
      </c>
      <c r="C589" t="s">
        <v>2344</v>
      </c>
      <c r="D589" t="s">
        <v>2348</v>
      </c>
      <c r="E589">
        <v>49.014133684999997</v>
      </c>
      <c r="F589">
        <v>2.0783065914100001</v>
      </c>
    </row>
    <row r="590" spans="1:6" x14ac:dyDescent="0.2">
      <c r="A590">
        <v>5890</v>
      </c>
      <c r="B590" t="s">
        <v>2355</v>
      </c>
      <c r="C590" t="s">
        <v>2344</v>
      </c>
      <c r="D590" t="s">
        <v>2349</v>
      </c>
      <c r="E590">
        <v>48.991012548699999</v>
      </c>
      <c r="F590">
        <v>2.07376988648</v>
      </c>
    </row>
    <row r="591" spans="1:6" x14ac:dyDescent="0.2">
      <c r="A591">
        <v>5900</v>
      </c>
      <c r="B591" t="s">
        <v>2356</v>
      </c>
      <c r="C591" t="s">
        <v>2344</v>
      </c>
      <c r="D591" t="s">
        <v>2350</v>
      </c>
      <c r="E591">
        <v>48.970665048299999</v>
      </c>
      <c r="F591">
        <v>2.0777317659299999</v>
      </c>
    </row>
    <row r="592" spans="1:6" x14ac:dyDescent="0.2">
      <c r="A592">
        <v>5910</v>
      </c>
      <c r="B592" t="s">
        <v>2357</v>
      </c>
      <c r="C592" t="s">
        <v>2344</v>
      </c>
      <c r="D592" t="s">
        <v>2380</v>
      </c>
      <c r="E592">
        <v>48.933265406099999</v>
      </c>
      <c r="F592">
        <v>2.0410722896800002</v>
      </c>
    </row>
    <row r="593" spans="1:6" x14ac:dyDescent="0.2">
      <c r="A593">
        <v>5920</v>
      </c>
      <c r="B593" t="s">
        <v>2358</v>
      </c>
      <c r="C593" t="s">
        <v>2344</v>
      </c>
      <c r="D593" t="s">
        <v>2381</v>
      </c>
      <c r="E593">
        <v>48.9554022445</v>
      </c>
      <c r="F593">
        <v>2.0935219029500001</v>
      </c>
    </row>
    <row r="594" spans="1:6" x14ac:dyDescent="0.2">
      <c r="A594">
        <v>5930</v>
      </c>
      <c r="B594" t="s">
        <v>2359</v>
      </c>
      <c r="C594" t="s">
        <v>2344</v>
      </c>
      <c r="D594" t="s">
        <v>2382</v>
      </c>
      <c r="E594">
        <v>48.945795934499998</v>
      </c>
      <c r="F594">
        <v>2.1445587568</v>
      </c>
    </row>
    <row r="595" spans="1:6" x14ac:dyDescent="0.2">
      <c r="A595">
        <v>5940</v>
      </c>
      <c r="B595" t="s">
        <v>2360</v>
      </c>
      <c r="C595" t="s">
        <v>2344</v>
      </c>
      <c r="D595" t="s">
        <v>2383</v>
      </c>
      <c r="E595">
        <v>48.937736062500001</v>
      </c>
      <c r="F595">
        <v>2.15708649785</v>
      </c>
    </row>
    <row r="596" spans="1:6" x14ac:dyDescent="0.2">
      <c r="A596">
        <v>5950</v>
      </c>
      <c r="B596" t="s">
        <v>2361</v>
      </c>
      <c r="C596" t="s">
        <v>2344</v>
      </c>
      <c r="D596" t="s">
        <v>2384</v>
      </c>
      <c r="E596">
        <v>48.9203793748</v>
      </c>
      <c r="F596">
        <v>2.1853533762900001</v>
      </c>
    </row>
    <row r="597" spans="1:6" x14ac:dyDescent="0.2">
      <c r="A597">
        <v>5960</v>
      </c>
      <c r="B597" t="s">
        <v>2362</v>
      </c>
      <c r="C597" t="s">
        <v>2344</v>
      </c>
      <c r="D597" t="s">
        <v>2385</v>
      </c>
      <c r="E597">
        <v>48.8980764111</v>
      </c>
      <c r="F597">
        <v>2.0948366282999999</v>
      </c>
    </row>
    <row r="598" spans="1:6" x14ac:dyDescent="0.2">
      <c r="A598">
        <v>5970</v>
      </c>
      <c r="B598" t="s">
        <v>2363</v>
      </c>
      <c r="C598" t="s">
        <v>2344</v>
      </c>
      <c r="D598" t="s">
        <v>2386</v>
      </c>
      <c r="E598">
        <v>48.8979734463</v>
      </c>
      <c r="F598">
        <v>2.12211744747</v>
      </c>
    </row>
    <row r="599" spans="1:6" x14ac:dyDescent="0.2">
      <c r="A599">
        <v>5980</v>
      </c>
      <c r="B599" t="s">
        <v>2364</v>
      </c>
      <c r="C599" t="s">
        <v>2344</v>
      </c>
      <c r="D599" t="s">
        <v>2387</v>
      </c>
      <c r="E599">
        <v>48.890086235600002</v>
      </c>
      <c r="F599">
        <v>2.1346008752299999</v>
      </c>
    </row>
    <row r="600" spans="1:6" x14ac:dyDescent="0.2">
      <c r="A600">
        <v>5990</v>
      </c>
      <c r="B600" t="s">
        <v>2365</v>
      </c>
      <c r="C600" t="s">
        <v>2344</v>
      </c>
      <c r="D600" t="s">
        <v>2388</v>
      </c>
      <c r="E600">
        <v>48.885211218199998</v>
      </c>
      <c r="F600">
        <v>2.1559034718999999</v>
      </c>
    </row>
    <row r="601" spans="1:6" x14ac:dyDescent="0.2">
      <c r="A601">
        <v>6000</v>
      </c>
      <c r="B601" t="s">
        <v>2366</v>
      </c>
      <c r="C601" t="s">
        <v>2344</v>
      </c>
      <c r="D601" t="s">
        <v>2389</v>
      </c>
      <c r="E601">
        <v>48.887573618600001</v>
      </c>
      <c r="F601">
        <v>2.1725794490800001</v>
      </c>
    </row>
    <row r="602" spans="1:6" x14ac:dyDescent="0.2">
      <c r="A602">
        <v>6010</v>
      </c>
      <c r="B602" t="s">
        <v>2367</v>
      </c>
      <c r="C602" t="s">
        <v>2344</v>
      </c>
      <c r="D602" t="s">
        <v>2390</v>
      </c>
      <c r="E602">
        <v>48.895125891299998</v>
      </c>
      <c r="F602">
        <v>2.1953639869099999</v>
      </c>
    </row>
    <row r="603" spans="1:6" x14ac:dyDescent="0.2">
      <c r="A603">
        <v>6020</v>
      </c>
      <c r="B603" t="s">
        <v>2368</v>
      </c>
      <c r="C603" t="s">
        <v>2344</v>
      </c>
      <c r="D603" t="s">
        <v>2391</v>
      </c>
      <c r="E603">
        <v>48.9015496743</v>
      </c>
      <c r="F603">
        <v>2.2152323472700002</v>
      </c>
    </row>
    <row r="604" spans="1:6" x14ac:dyDescent="0.2">
      <c r="A604">
        <v>6030</v>
      </c>
      <c r="B604" t="s">
        <v>2369</v>
      </c>
      <c r="C604" t="s">
        <v>2344</v>
      </c>
      <c r="D604" t="s">
        <v>2392</v>
      </c>
      <c r="E604">
        <v>48.895745312099997</v>
      </c>
      <c r="F604">
        <v>2.2232129670299998</v>
      </c>
    </row>
    <row r="605" spans="1:6" x14ac:dyDescent="0.2">
      <c r="A605">
        <v>6040</v>
      </c>
      <c r="B605" t="s">
        <v>2370</v>
      </c>
      <c r="C605" t="s">
        <v>2344</v>
      </c>
      <c r="D605" t="s">
        <v>8</v>
      </c>
      <c r="E605">
        <v>48.892187076399999</v>
      </c>
      <c r="F605">
        <v>2.2370180564000002</v>
      </c>
    </row>
    <row r="606" spans="1:6" x14ac:dyDescent="0.2">
      <c r="A606">
        <v>6050</v>
      </c>
      <c r="B606" t="s">
        <v>2371</v>
      </c>
      <c r="C606" t="s">
        <v>2344</v>
      </c>
      <c r="D606" t="s">
        <v>96</v>
      </c>
      <c r="E606">
        <v>48.8742384767</v>
      </c>
      <c r="F606">
        <v>2.2944905928299999</v>
      </c>
    </row>
    <row r="607" spans="1:6" x14ac:dyDescent="0.2">
      <c r="A607">
        <v>6060</v>
      </c>
      <c r="B607" t="s">
        <v>2372</v>
      </c>
      <c r="C607" t="s">
        <v>2344</v>
      </c>
      <c r="D607" t="s">
        <v>2393</v>
      </c>
      <c r="E607">
        <v>48.872157494900001</v>
      </c>
      <c r="F607">
        <v>2.32992717061</v>
      </c>
    </row>
    <row r="608" spans="1:6" x14ac:dyDescent="0.2">
      <c r="A608">
        <v>6070</v>
      </c>
      <c r="B608" t="s">
        <v>2373</v>
      </c>
      <c r="C608" t="s">
        <v>2344</v>
      </c>
      <c r="D608" t="s">
        <v>2394</v>
      </c>
      <c r="E608">
        <v>48.861822274600001</v>
      </c>
      <c r="F608">
        <v>2.3470126872199999</v>
      </c>
    </row>
    <row r="609" spans="1:6" x14ac:dyDescent="0.2">
      <c r="A609">
        <v>6080</v>
      </c>
      <c r="B609" t="s">
        <v>2374</v>
      </c>
      <c r="C609" t="s">
        <v>2344</v>
      </c>
      <c r="D609" t="s">
        <v>24</v>
      </c>
      <c r="E609">
        <v>48.844139349899997</v>
      </c>
      <c r="F609">
        <v>2.37325997671</v>
      </c>
    </row>
    <row r="610" spans="1:6" x14ac:dyDescent="0.2">
      <c r="A610">
        <v>6090</v>
      </c>
      <c r="B610" t="s">
        <v>2375</v>
      </c>
      <c r="C610" t="s">
        <v>2344</v>
      </c>
      <c r="D610" t="s">
        <v>25</v>
      </c>
      <c r="E610">
        <v>48.848237110399999</v>
      </c>
      <c r="F610">
        <v>2.3958235888299999</v>
      </c>
    </row>
    <row r="611" spans="1:6" x14ac:dyDescent="0.2">
      <c r="A611">
        <v>6100</v>
      </c>
      <c r="B611" t="s">
        <v>2376</v>
      </c>
      <c r="C611" t="s">
        <v>2344</v>
      </c>
      <c r="D611" t="s">
        <v>2395</v>
      </c>
      <c r="E611">
        <v>48.847308359499998</v>
      </c>
      <c r="F611">
        <v>2.4332997176400002</v>
      </c>
    </row>
    <row r="612" spans="1:6" x14ac:dyDescent="0.2">
      <c r="A612">
        <v>6110</v>
      </c>
      <c r="B612" t="s">
        <v>2377</v>
      </c>
      <c r="C612" t="s">
        <v>2344</v>
      </c>
      <c r="D612" t="s">
        <v>2396</v>
      </c>
      <c r="E612">
        <v>48.853795576499998</v>
      </c>
      <c r="F612">
        <v>2.48818757518</v>
      </c>
    </row>
    <row r="613" spans="1:6" x14ac:dyDescent="0.2">
      <c r="A613">
        <v>6120</v>
      </c>
      <c r="B613" t="s">
        <v>2378</v>
      </c>
      <c r="C613" t="s">
        <v>2344</v>
      </c>
      <c r="D613" t="s">
        <v>2397</v>
      </c>
      <c r="E613">
        <v>48.853485712999998</v>
      </c>
      <c r="F613">
        <v>2.5138252910299999</v>
      </c>
    </row>
    <row r="614" spans="1:6" x14ac:dyDescent="0.2">
      <c r="A614">
        <v>6130</v>
      </c>
      <c r="B614" t="s">
        <v>2379</v>
      </c>
      <c r="C614" t="s">
        <v>2344</v>
      </c>
      <c r="D614" t="s">
        <v>2398</v>
      </c>
      <c r="E614">
        <v>48.844901138700003</v>
      </c>
      <c r="F614">
        <v>2.5259225465699999</v>
      </c>
    </row>
    <row r="615" spans="1:6" x14ac:dyDescent="0.2">
      <c r="A615">
        <v>6140</v>
      </c>
      <c r="B615" t="s">
        <v>2442</v>
      </c>
      <c r="C615" t="s">
        <v>2344</v>
      </c>
      <c r="D615" t="s">
        <v>2399</v>
      </c>
      <c r="E615">
        <v>48.840843431899998</v>
      </c>
      <c r="F615">
        <v>2.5477751892999998</v>
      </c>
    </row>
    <row r="616" spans="1:6" x14ac:dyDescent="0.2">
      <c r="A616">
        <v>6150</v>
      </c>
      <c r="B616" t="s">
        <v>2444</v>
      </c>
      <c r="C616" t="s">
        <v>2344</v>
      </c>
      <c r="D616" t="s">
        <v>2400</v>
      </c>
      <c r="E616">
        <v>48.842884840799996</v>
      </c>
      <c r="F616">
        <v>2.5800859119699999</v>
      </c>
    </row>
    <row r="617" spans="1:6" x14ac:dyDescent="0.2">
      <c r="A617">
        <v>6160</v>
      </c>
      <c r="B617" t="s">
        <v>2446</v>
      </c>
      <c r="C617" t="s">
        <v>2344</v>
      </c>
      <c r="D617" t="s">
        <v>2401</v>
      </c>
      <c r="E617">
        <v>48.843491648700002</v>
      </c>
      <c r="F617">
        <v>2.6159524885000001</v>
      </c>
    </row>
    <row r="618" spans="1:6" x14ac:dyDescent="0.2">
      <c r="A618">
        <v>6170</v>
      </c>
      <c r="B618" t="s">
        <v>2448</v>
      </c>
      <c r="C618" t="s">
        <v>2344</v>
      </c>
      <c r="D618" t="s">
        <v>2402</v>
      </c>
      <c r="E618">
        <v>48.839219300000003</v>
      </c>
      <c r="F618">
        <v>2.6332109134200001</v>
      </c>
    </row>
    <row r="619" spans="1:6" x14ac:dyDescent="0.2">
      <c r="A619">
        <v>6180</v>
      </c>
      <c r="B619" t="s">
        <v>2450</v>
      </c>
      <c r="C619" t="s">
        <v>2344</v>
      </c>
      <c r="D619" t="s">
        <v>2403</v>
      </c>
      <c r="E619">
        <v>48.839645517299999</v>
      </c>
      <c r="F619">
        <v>2.6551300866399998</v>
      </c>
    </row>
    <row r="620" spans="1:6" x14ac:dyDescent="0.2">
      <c r="A620">
        <v>6190</v>
      </c>
      <c r="B620" t="s">
        <v>2452</v>
      </c>
      <c r="C620" t="s">
        <v>2344</v>
      </c>
      <c r="D620" t="s">
        <v>2404</v>
      </c>
      <c r="E620">
        <v>48.836536432899997</v>
      </c>
      <c r="F620">
        <v>2.7089817422600002</v>
      </c>
    </row>
    <row r="621" spans="1:6" x14ac:dyDescent="0.2">
      <c r="A621">
        <v>6200</v>
      </c>
      <c r="B621" t="s">
        <v>2454</v>
      </c>
      <c r="C621" t="s">
        <v>2344</v>
      </c>
      <c r="D621" t="s">
        <v>2405</v>
      </c>
      <c r="E621">
        <v>48.855394809000003</v>
      </c>
      <c r="F621">
        <v>2.7734339178799998</v>
      </c>
    </row>
    <row r="622" spans="1:6" x14ac:dyDescent="0.2">
      <c r="A622">
        <v>6210</v>
      </c>
      <c r="B622" t="s">
        <v>2456</v>
      </c>
      <c r="C622" t="s">
        <v>2344</v>
      </c>
      <c r="D622" t="s">
        <v>2406</v>
      </c>
      <c r="E622">
        <v>48.869950134900002</v>
      </c>
      <c r="F622">
        <v>2.78222672345</v>
      </c>
    </row>
    <row r="623" spans="1:6" x14ac:dyDescent="0.2">
      <c r="A623">
        <v>6220</v>
      </c>
      <c r="B623" t="s">
        <v>2457</v>
      </c>
      <c r="C623" t="s">
        <v>2344</v>
      </c>
      <c r="D623" t="s">
        <v>2407</v>
      </c>
      <c r="E623">
        <v>48.843720261599998</v>
      </c>
      <c r="F623">
        <v>2.46370803804</v>
      </c>
    </row>
    <row r="624" spans="1:6" x14ac:dyDescent="0.2">
      <c r="A624">
        <v>6230</v>
      </c>
      <c r="B624" t="s">
        <v>2459</v>
      </c>
      <c r="C624" t="s">
        <v>2344</v>
      </c>
      <c r="D624" t="s">
        <v>2408</v>
      </c>
      <c r="E624">
        <v>48.834288898899999</v>
      </c>
      <c r="F624">
        <v>2.4716812412100002</v>
      </c>
    </row>
    <row r="625" spans="1:6" x14ac:dyDescent="0.2">
      <c r="A625">
        <v>6240</v>
      </c>
      <c r="B625" t="s">
        <v>2461</v>
      </c>
      <c r="C625" t="s">
        <v>2344</v>
      </c>
      <c r="D625" t="s">
        <v>2409</v>
      </c>
      <c r="E625">
        <v>48.821038815100003</v>
      </c>
      <c r="F625">
        <v>2.4638567953599999</v>
      </c>
    </row>
    <row r="626" spans="1:6" x14ac:dyDescent="0.2">
      <c r="A626">
        <v>6250</v>
      </c>
      <c r="B626" t="s">
        <v>2463</v>
      </c>
      <c r="C626" t="s">
        <v>2344</v>
      </c>
      <c r="D626" t="s">
        <v>2410</v>
      </c>
      <c r="E626">
        <v>48.806200024799999</v>
      </c>
      <c r="F626">
        <v>2.4727204037999999</v>
      </c>
    </row>
    <row r="627" spans="1:6" x14ac:dyDescent="0.2">
      <c r="A627">
        <v>6260</v>
      </c>
      <c r="B627" t="s">
        <v>2465</v>
      </c>
      <c r="C627" t="s">
        <v>2344</v>
      </c>
      <c r="D627" t="s">
        <v>2411</v>
      </c>
      <c r="E627">
        <v>48.805377662200002</v>
      </c>
      <c r="F627">
        <v>2.4863497487799999</v>
      </c>
    </row>
    <row r="628" spans="1:6" x14ac:dyDescent="0.2">
      <c r="A628">
        <v>6270</v>
      </c>
      <c r="B628" t="s">
        <v>2467</v>
      </c>
      <c r="C628" t="s">
        <v>2344</v>
      </c>
      <c r="D628" t="s">
        <v>2412</v>
      </c>
      <c r="E628">
        <v>48.806985071600003</v>
      </c>
      <c r="F628">
        <v>2.5103072371200001</v>
      </c>
    </row>
    <row r="629" spans="1:6" x14ac:dyDescent="0.2">
      <c r="A629">
        <v>6280</v>
      </c>
      <c r="B629" t="s">
        <v>2469</v>
      </c>
      <c r="C629" t="s">
        <v>2344</v>
      </c>
      <c r="D629" t="s">
        <v>2413</v>
      </c>
      <c r="E629">
        <v>48.795383835599999</v>
      </c>
      <c r="F629">
        <v>2.5134232995499999</v>
      </c>
    </row>
    <row r="630" spans="1:6" x14ac:dyDescent="0.2">
      <c r="A630">
        <v>6290</v>
      </c>
      <c r="B630" t="s">
        <v>2471</v>
      </c>
      <c r="C630" t="s">
        <v>2344</v>
      </c>
      <c r="D630" t="s">
        <v>2414</v>
      </c>
      <c r="E630">
        <v>48.771707906099998</v>
      </c>
      <c r="F630">
        <v>2.5074826457200001</v>
      </c>
    </row>
    <row r="631" spans="1:6" x14ac:dyDescent="0.2">
      <c r="A631">
        <v>6300</v>
      </c>
      <c r="B631" t="s">
        <v>2473</v>
      </c>
      <c r="C631" t="s">
        <v>2344</v>
      </c>
      <c r="D631" t="s">
        <v>2415</v>
      </c>
      <c r="E631">
        <v>48.752185723499998</v>
      </c>
      <c r="F631">
        <v>2.5045598383200001</v>
      </c>
    </row>
    <row r="632" spans="1:6" x14ac:dyDescent="0.2">
      <c r="A632">
        <v>6310</v>
      </c>
      <c r="B632" t="s">
        <v>2482</v>
      </c>
      <c r="C632" t="s">
        <v>2476</v>
      </c>
      <c r="D632" t="s">
        <v>2529</v>
      </c>
      <c r="E632">
        <v>49.0097564521</v>
      </c>
      <c r="F632">
        <v>2.5612326952300002</v>
      </c>
    </row>
    <row r="633" spans="1:6" x14ac:dyDescent="0.2">
      <c r="A633">
        <v>6320</v>
      </c>
      <c r="B633" t="s">
        <v>2483</v>
      </c>
      <c r="C633" t="s">
        <v>2476</v>
      </c>
      <c r="D633" t="s">
        <v>2530</v>
      </c>
      <c r="E633">
        <v>49.004687461800003</v>
      </c>
      <c r="F633">
        <v>2.5705894855200002</v>
      </c>
    </row>
    <row r="634" spans="1:6" x14ac:dyDescent="0.2">
      <c r="A634">
        <v>6330</v>
      </c>
      <c r="B634" t="s">
        <v>2484</v>
      </c>
      <c r="C634" t="s">
        <v>2476</v>
      </c>
      <c r="D634" t="s">
        <v>2531</v>
      </c>
      <c r="E634">
        <v>48.973424906299996</v>
      </c>
      <c r="F634">
        <v>2.5143602841799999</v>
      </c>
    </row>
    <row r="635" spans="1:6" x14ac:dyDescent="0.2">
      <c r="A635">
        <v>6340</v>
      </c>
      <c r="B635" t="s">
        <v>2485</v>
      </c>
      <c r="C635" t="s">
        <v>2476</v>
      </c>
      <c r="D635" t="s">
        <v>2532</v>
      </c>
      <c r="E635">
        <v>48.962709513299998</v>
      </c>
      <c r="F635">
        <v>2.5126446278199999</v>
      </c>
    </row>
    <row r="636" spans="1:6" x14ac:dyDescent="0.2">
      <c r="A636">
        <v>6350</v>
      </c>
      <c r="B636" t="s">
        <v>2486</v>
      </c>
      <c r="C636" t="s">
        <v>2476</v>
      </c>
      <c r="D636" t="s">
        <v>2533</v>
      </c>
      <c r="E636">
        <v>48.947607555899999</v>
      </c>
      <c r="F636">
        <v>2.52471638941</v>
      </c>
    </row>
    <row r="637" spans="1:6" x14ac:dyDescent="0.2">
      <c r="A637">
        <v>6360</v>
      </c>
      <c r="B637" t="s">
        <v>2487</v>
      </c>
      <c r="C637" t="s">
        <v>2476</v>
      </c>
      <c r="D637" t="s">
        <v>2534</v>
      </c>
      <c r="E637">
        <v>48.975858755799997</v>
      </c>
      <c r="F637">
        <v>2.6424063050300002</v>
      </c>
    </row>
    <row r="638" spans="1:6" x14ac:dyDescent="0.2">
      <c r="A638">
        <v>6370</v>
      </c>
      <c r="B638" t="s">
        <v>2488</v>
      </c>
      <c r="C638" t="s">
        <v>2476</v>
      </c>
      <c r="D638" t="s">
        <v>2535</v>
      </c>
      <c r="E638">
        <v>48.953148387600002</v>
      </c>
      <c r="F638">
        <v>2.6031353051199999</v>
      </c>
    </row>
    <row r="639" spans="1:6" x14ac:dyDescent="0.2">
      <c r="A639">
        <v>6380</v>
      </c>
      <c r="B639" t="s">
        <v>2489</v>
      </c>
      <c r="C639" t="s">
        <v>2476</v>
      </c>
      <c r="D639" t="s">
        <v>2536</v>
      </c>
      <c r="E639">
        <v>48.944181065099997</v>
      </c>
      <c r="F639">
        <v>2.5664480169699999</v>
      </c>
    </row>
    <row r="640" spans="1:6" x14ac:dyDescent="0.2">
      <c r="A640">
        <v>6390</v>
      </c>
      <c r="B640" t="s">
        <v>2490</v>
      </c>
      <c r="C640" t="s">
        <v>2476</v>
      </c>
      <c r="D640" t="s">
        <v>2537</v>
      </c>
      <c r="E640">
        <v>48.936280185699999</v>
      </c>
      <c r="F640">
        <v>2.5347149774700002</v>
      </c>
    </row>
    <row r="641" spans="1:6" x14ac:dyDescent="0.2">
      <c r="A641">
        <v>6400</v>
      </c>
      <c r="B641" t="s">
        <v>2491</v>
      </c>
      <c r="C641" t="s">
        <v>2476</v>
      </c>
      <c r="D641" t="s">
        <v>1961</v>
      </c>
      <c r="E641">
        <v>48.932196005100003</v>
      </c>
      <c r="F641">
        <v>2.49551314123</v>
      </c>
    </row>
    <row r="642" spans="1:6" x14ac:dyDescent="0.2">
      <c r="A642">
        <v>6410</v>
      </c>
      <c r="B642" t="s">
        <v>2492</v>
      </c>
      <c r="C642" t="s">
        <v>2476</v>
      </c>
      <c r="D642" t="s">
        <v>2538</v>
      </c>
      <c r="E642">
        <v>48.9323054161</v>
      </c>
      <c r="F642">
        <v>2.4756743708300002</v>
      </c>
    </row>
    <row r="643" spans="1:6" x14ac:dyDescent="0.2">
      <c r="A643">
        <v>6420</v>
      </c>
      <c r="B643" t="s">
        <v>2493</v>
      </c>
      <c r="C643" t="s">
        <v>2476</v>
      </c>
      <c r="D643" t="s">
        <v>1546</v>
      </c>
      <c r="E643">
        <v>48.932706218699998</v>
      </c>
      <c r="F643">
        <v>2.4547663827699999</v>
      </c>
    </row>
    <row r="644" spans="1:6" x14ac:dyDescent="0.2">
      <c r="A644">
        <v>6430</v>
      </c>
      <c r="B644" t="s">
        <v>2494</v>
      </c>
      <c r="C644" t="s">
        <v>2476</v>
      </c>
      <c r="D644" t="s">
        <v>2034</v>
      </c>
      <c r="E644">
        <v>48.9307395712</v>
      </c>
      <c r="F644">
        <v>2.42579142691</v>
      </c>
    </row>
    <row r="645" spans="1:6" x14ac:dyDescent="0.2">
      <c r="A645">
        <v>6440</v>
      </c>
      <c r="B645" t="s">
        <v>2495</v>
      </c>
      <c r="C645" t="s">
        <v>2476</v>
      </c>
      <c r="D645" t="s">
        <v>2539</v>
      </c>
      <c r="E645">
        <v>48.9243538797</v>
      </c>
      <c r="F645">
        <v>2.3863882910599998</v>
      </c>
    </row>
    <row r="646" spans="1:6" x14ac:dyDescent="0.2">
      <c r="A646">
        <v>6450</v>
      </c>
      <c r="B646" t="s">
        <v>2496</v>
      </c>
      <c r="C646" t="s">
        <v>2476</v>
      </c>
      <c r="D646" t="s">
        <v>2540</v>
      </c>
      <c r="E646">
        <v>48.918113804000001</v>
      </c>
      <c r="F646">
        <v>2.3626656001800002</v>
      </c>
    </row>
    <row r="647" spans="1:6" x14ac:dyDescent="0.2">
      <c r="A647">
        <v>6460</v>
      </c>
      <c r="B647" t="s">
        <v>2497</v>
      </c>
      <c r="C647" t="s">
        <v>2476</v>
      </c>
      <c r="D647" t="s">
        <v>310</v>
      </c>
      <c r="E647">
        <v>48.880768958300003</v>
      </c>
      <c r="F647">
        <v>2.35711533495</v>
      </c>
    </row>
    <row r="648" spans="1:6" x14ac:dyDescent="0.2">
      <c r="A648">
        <v>6470</v>
      </c>
      <c r="B648" t="s">
        <v>2498</v>
      </c>
      <c r="C648" t="s">
        <v>2476</v>
      </c>
      <c r="D648" t="s">
        <v>2394</v>
      </c>
      <c r="E648">
        <v>48.861822274600001</v>
      </c>
      <c r="F648">
        <v>2.3470126872199999</v>
      </c>
    </row>
    <row r="649" spans="1:6" x14ac:dyDescent="0.2">
      <c r="A649">
        <v>6480</v>
      </c>
      <c r="B649" t="s">
        <v>2499</v>
      </c>
      <c r="C649" t="s">
        <v>2476</v>
      </c>
      <c r="D649" t="s">
        <v>2541</v>
      </c>
      <c r="E649">
        <v>48.853335796499998</v>
      </c>
      <c r="F649">
        <v>2.3460349844400001</v>
      </c>
    </row>
    <row r="650" spans="1:6" x14ac:dyDescent="0.2">
      <c r="A650">
        <v>6490</v>
      </c>
      <c r="B650" t="s">
        <v>2500</v>
      </c>
      <c r="C650" t="s">
        <v>2476</v>
      </c>
      <c r="D650" t="s">
        <v>2542</v>
      </c>
      <c r="E650">
        <v>48.845743073199998</v>
      </c>
      <c r="F650">
        <v>2.33992799972</v>
      </c>
    </row>
    <row r="651" spans="1:6" x14ac:dyDescent="0.2">
      <c r="A651">
        <v>6500</v>
      </c>
      <c r="B651" t="s">
        <v>2501</v>
      </c>
      <c r="C651" t="s">
        <v>2476</v>
      </c>
      <c r="D651" t="s">
        <v>2543</v>
      </c>
      <c r="E651">
        <v>48.840033786500001</v>
      </c>
      <c r="F651">
        <v>2.33709643089</v>
      </c>
    </row>
    <row r="652" spans="1:6" x14ac:dyDescent="0.2">
      <c r="A652">
        <v>6510</v>
      </c>
      <c r="B652" t="s">
        <v>2502</v>
      </c>
      <c r="C652" t="s">
        <v>2476</v>
      </c>
      <c r="D652" t="s">
        <v>325</v>
      </c>
      <c r="E652">
        <v>48.834292980500003</v>
      </c>
      <c r="F652">
        <v>2.3328523099599998</v>
      </c>
    </row>
    <row r="653" spans="1:6" x14ac:dyDescent="0.2">
      <c r="A653">
        <v>6520</v>
      </c>
      <c r="B653" t="s">
        <v>2503</v>
      </c>
      <c r="C653" t="s">
        <v>2476</v>
      </c>
      <c r="D653" t="s">
        <v>1704</v>
      </c>
      <c r="E653">
        <v>48.821089650600001</v>
      </c>
      <c r="F653">
        <v>2.33897847201</v>
      </c>
    </row>
    <row r="654" spans="1:6" x14ac:dyDescent="0.2">
      <c r="A654">
        <v>6530</v>
      </c>
      <c r="B654" t="s">
        <v>2504</v>
      </c>
      <c r="C654" t="s">
        <v>2476</v>
      </c>
      <c r="D654" t="s">
        <v>2544</v>
      </c>
      <c r="E654">
        <v>48.815229936500003</v>
      </c>
      <c r="F654">
        <v>2.3408911324199999</v>
      </c>
    </row>
    <row r="655" spans="1:6" x14ac:dyDescent="0.2">
      <c r="A655">
        <v>6540</v>
      </c>
      <c r="B655" t="s">
        <v>2505</v>
      </c>
      <c r="C655" t="s">
        <v>2476</v>
      </c>
      <c r="D655" t="s">
        <v>2545</v>
      </c>
      <c r="E655">
        <v>48.808296586799997</v>
      </c>
      <c r="F655">
        <v>2.3343543069399999</v>
      </c>
    </row>
    <row r="656" spans="1:6" x14ac:dyDescent="0.2">
      <c r="A656">
        <v>6550</v>
      </c>
      <c r="B656" t="s">
        <v>2506</v>
      </c>
      <c r="C656" t="s">
        <v>2476</v>
      </c>
      <c r="D656" t="s">
        <v>2546</v>
      </c>
      <c r="E656">
        <v>48.798892500100003</v>
      </c>
      <c r="F656">
        <v>2.3281369230600002</v>
      </c>
    </row>
    <row r="657" spans="1:6" x14ac:dyDescent="0.2">
      <c r="A657">
        <v>6560</v>
      </c>
      <c r="B657" t="s">
        <v>2507</v>
      </c>
      <c r="C657" t="s">
        <v>2476</v>
      </c>
      <c r="D657" t="s">
        <v>2547</v>
      </c>
      <c r="E657">
        <v>48.793336296200003</v>
      </c>
      <c r="F657">
        <v>2.3222016336700002</v>
      </c>
    </row>
    <row r="658" spans="1:6" x14ac:dyDescent="0.2">
      <c r="A658">
        <v>6570</v>
      </c>
      <c r="B658" t="s">
        <v>2508</v>
      </c>
      <c r="C658" t="s">
        <v>2476</v>
      </c>
      <c r="D658" t="s">
        <v>2548</v>
      </c>
      <c r="E658">
        <v>48.780313796400002</v>
      </c>
      <c r="F658">
        <v>2.3123077168899999</v>
      </c>
    </row>
    <row r="659" spans="1:6" x14ac:dyDescent="0.2">
      <c r="A659">
        <v>6580</v>
      </c>
      <c r="B659" t="s">
        <v>2509</v>
      </c>
      <c r="C659" t="s">
        <v>2476</v>
      </c>
      <c r="D659" t="s">
        <v>2549</v>
      </c>
      <c r="E659">
        <v>48.781356720399998</v>
      </c>
      <c r="F659">
        <v>2.2976476791699998</v>
      </c>
    </row>
    <row r="660" spans="1:6" x14ac:dyDescent="0.2">
      <c r="A660">
        <v>6590</v>
      </c>
      <c r="B660" t="s">
        <v>2510</v>
      </c>
      <c r="C660" t="s">
        <v>2476</v>
      </c>
      <c r="D660" t="s">
        <v>2550</v>
      </c>
      <c r="E660">
        <v>48.787614679999997</v>
      </c>
      <c r="F660">
        <v>2.2924929805600001</v>
      </c>
    </row>
    <row r="661" spans="1:6" x14ac:dyDescent="0.2">
      <c r="A661">
        <v>6600</v>
      </c>
      <c r="B661" t="s">
        <v>2511</v>
      </c>
      <c r="C661" t="s">
        <v>2476</v>
      </c>
      <c r="D661" t="s">
        <v>2551</v>
      </c>
      <c r="E661">
        <v>48.780237298000003</v>
      </c>
      <c r="F661">
        <v>2.2814305954299998</v>
      </c>
    </row>
    <row r="662" spans="1:6" x14ac:dyDescent="0.2">
      <c r="A662">
        <v>6610</v>
      </c>
      <c r="B662" t="s">
        <v>2512</v>
      </c>
      <c r="C662" t="s">
        <v>2476</v>
      </c>
      <c r="D662" t="s">
        <v>2552</v>
      </c>
      <c r="E662">
        <v>48.770721993499997</v>
      </c>
      <c r="F662">
        <v>2.3102054518799999</v>
      </c>
    </row>
    <row r="663" spans="1:6" x14ac:dyDescent="0.2">
      <c r="A663">
        <v>6620</v>
      </c>
      <c r="B663" t="s">
        <v>2513</v>
      </c>
      <c r="C663" t="s">
        <v>2476</v>
      </c>
      <c r="D663" t="s">
        <v>2553</v>
      </c>
      <c r="E663">
        <v>48.761693690400001</v>
      </c>
      <c r="F663">
        <v>2.3042273461899998</v>
      </c>
    </row>
    <row r="664" spans="1:6" x14ac:dyDescent="0.2">
      <c r="A664">
        <v>6630</v>
      </c>
      <c r="B664" t="s">
        <v>2514</v>
      </c>
      <c r="C664" t="s">
        <v>2476</v>
      </c>
      <c r="D664" t="s">
        <v>2554</v>
      </c>
      <c r="E664">
        <v>48.754946526399998</v>
      </c>
      <c r="F664">
        <v>2.3009868557200002</v>
      </c>
    </row>
    <row r="665" spans="1:6" x14ac:dyDescent="0.2">
      <c r="A665">
        <v>6640</v>
      </c>
      <c r="B665" t="s">
        <v>2515</v>
      </c>
      <c r="C665" t="s">
        <v>2476</v>
      </c>
      <c r="D665" t="s">
        <v>2555</v>
      </c>
      <c r="E665">
        <v>48.743373402000003</v>
      </c>
      <c r="F665">
        <v>2.2963931575399998</v>
      </c>
    </row>
    <row r="666" spans="1:6" x14ac:dyDescent="0.2">
      <c r="A666">
        <v>6650</v>
      </c>
      <c r="B666" t="s">
        <v>2516</v>
      </c>
      <c r="C666" t="s">
        <v>2476</v>
      </c>
      <c r="D666" t="s">
        <v>2556</v>
      </c>
      <c r="E666">
        <v>48.739681043399997</v>
      </c>
      <c r="F666">
        <v>2.28766749545</v>
      </c>
    </row>
    <row r="667" spans="1:6" x14ac:dyDescent="0.2">
      <c r="A667">
        <v>6660</v>
      </c>
      <c r="B667" t="s">
        <v>2517</v>
      </c>
      <c r="C667" t="s">
        <v>2476</v>
      </c>
      <c r="D667" t="s">
        <v>2557</v>
      </c>
      <c r="E667">
        <v>48.734716586799998</v>
      </c>
      <c r="F667">
        <v>2.2734834643999999</v>
      </c>
    </row>
    <row r="668" spans="1:6" x14ac:dyDescent="0.2">
      <c r="A668">
        <v>6670</v>
      </c>
      <c r="B668" t="s">
        <v>2518</v>
      </c>
      <c r="C668" t="s">
        <v>2476</v>
      </c>
      <c r="D668" t="s">
        <v>2568</v>
      </c>
      <c r="E668">
        <v>48.724309419199997</v>
      </c>
      <c r="F668">
        <v>2.25896643431</v>
      </c>
    </row>
    <row r="669" spans="1:6" x14ac:dyDescent="0.2">
      <c r="A669">
        <v>6680</v>
      </c>
      <c r="B669" t="s">
        <v>2519</v>
      </c>
      <c r="C669" t="s">
        <v>2476</v>
      </c>
      <c r="D669" t="s">
        <v>2558</v>
      </c>
      <c r="E669">
        <v>48.716946287600003</v>
      </c>
      <c r="F669">
        <v>2.2456725145799998</v>
      </c>
    </row>
    <row r="670" spans="1:6" x14ac:dyDescent="0.2">
      <c r="A670">
        <v>6690</v>
      </c>
      <c r="B670" t="s">
        <v>2520</v>
      </c>
      <c r="C670" t="s">
        <v>2476</v>
      </c>
      <c r="D670" t="s">
        <v>2559</v>
      </c>
      <c r="E670">
        <v>48.708140583599999</v>
      </c>
      <c r="F670">
        <v>2.23731436464</v>
      </c>
    </row>
    <row r="671" spans="1:6" x14ac:dyDescent="0.2">
      <c r="A671">
        <v>6700</v>
      </c>
      <c r="B671" t="s">
        <v>2521</v>
      </c>
      <c r="C671" t="s">
        <v>2476</v>
      </c>
      <c r="D671" t="s">
        <v>2560</v>
      </c>
      <c r="E671">
        <v>48.705968984800002</v>
      </c>
      <c r="F671">
        <v>2.2122623780200001</v>
      </c>
    </row>
    <row r="672" spans="1:6" x14ac:dyDescent="0.2">
      <c r="A672">
        <v>6710</v>
      </c>
      <c r="B672" t="s">
        <v>2522</v>
      </c>
      <c r="C672" t="s">
        <v>2476</v>
      </c>
      <c r="D672" t="s">
        <v>2561</v>
      </c>
      <c r="E672">
        <v>48.705403924800002</v>
      </c>
      <c r="F672">
        <v>2.1927348848100001</v>
      </c>
    </row>
    <row r="673" spans="1:6" x14ac:dyDescent="0.2">
      <c r="A673">
        <v>6720</v>
      </c>
      <c r="B673" t="s">
        <v>2523</v>
      </c>
      <c r="C673" t="s">
        <v>2476</v>
      </c>
      <c r="D673" t="s">
        <v>2562</v>
      </c>
      <c r="E673">
        <v>48.697505669900004</v>
      </c>
      <c r="F673">
        <v>2.1810544376999998</v>
      </c>
    </row>
    <row r="674" spans="1:6" x14ac:dyDescent="0.2">
      <c r="A674">
        <v>6730</v>
      </c>
      <c r="B674" t="s">
        <v>2524</v>
      </c>
      <c r="C674" t="s">
        <v>2476</v>
      </c>
      <c r="D674" t="s">
        <v>2563</v>
      </c>
      <c r="E674">
        <v>48.696252746900001</v>
      </c>
      <c r="F674">
        <v>2.1643782427899998</v>
      </c>
    </row>
    <row r="675" spans="1:6" x14ac:dyDescent="0.2">
      <c r="A675">
        <v>6740</v>
      </c>
      <c r="B675" t="s">
        <v>2525</v>
      </c>
      <c r="C675" t="s">
        <v>2476</v>
      </c>
      <c r="D675" t="s">
        <v>2564</v>
      </c>
      <c r="E675">
        <v>48.695264122099999</v>
      </c>
      <c r="F675">
        <v>2.1516420386199999</v>
      </c>
    </row>
    <row r="676" spans="1:6" x14ac:dyDescent="0.2">
      <c r="A676">
        <v>6750</v>
      </c>
      <c r="B676" t="s">
        <v>2526</v>
      </c>
      <c r="C676" t="s">
        <v>2476</v>
      </c>
      <c r="D676" t="s">
        <v>2565</v>
      </c>
      <c r="E676">
        <v>48.698196976299997</v>
      </c>
      <c r="F676">
        <v>2.13656671706</v>
      </c>
    </row>
    <row r="677" spans="1:6" x14ac:dyDescent="0.2">
      <c r="A677">
        <v>6760</v>
      </c>
      <c r="B677" t="s">
        <v>2527</v>
      </c>
      <c r="C677" t="s">
        <v>2476</v>
      </c>
      <c r="D677" t="s">
        <v>2566</v>
      </c>
      <c r="E677">
        <v>48.701217721200003</v>
      </c>
      <c r="F677">
        <v>2.0979758556900001</v>
      </c>
    </row>
    <row r="678" spans="1:6" x14ac:dyDescent="0.2">
      <c r="A678">
        <v>6770</v>
      </c>
      <c r="B678" t="s">
        <v>2528</v>
      </c>
      <c r="C678" t="s">
        <v>2476</v>
      </c>
      <c r="D678" t="s">
        <v>2567</v>
      </c>
      <c r="E678">
        <v>48.702751042999999</v>
      </c>
      <c r="F678">
        <v>2.0712428490199999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864"/>
  <sheetViews>
    <sheetView workbookViewId="0">
      <selection activeCell="A739" sqref="A739"/>
    </sheetView>
  </sheetViews>
  <sheetFormatPr baseColWidth="10" defaultRowHeight="12.75" x14ac:dyDescent="0.2"/>
  <cols>
    <col min="1" max="2" width="35.85546875" bestFit="1" customWidth="1"/>
    <col min="3" max="3" width="15.28515625" bestFit="1" customWidth="1"/>
  </cols>
  <sheetData>
    <row r="1" spans="1:3" x14ac:dyDescent="0.2">
      <c r="A1" t="s">
        <v>1464</v>
      </c>
      <c r="B1" t="s">
        <v>1465</v>
      </c>
      <c r="C1" t="s">
        <v>1466</v>
      </c>
    </row>
    <row r="2" spans="1:3" x14ac:dyDescent="0.2">
      <c r="A2" t="s">
        <v>30</v>
      </c>
      <c r="B2" t="s">
        <v>31</v>
      </c>
      <c r="C2" t="s">
        <v>91</v>
      </c>
    </row>
    <row r="3" spans="1:3" x14ac:dyDescent="0.2">
      <c r="A3" t="s">
        <v>31</v>
      </c>
      <c r="B3" t="s">
        <v>32</v>
      </c>
      <c r="C3" t="s">
        <v>91</v>
      </c>
    </row>
    <row r="4" spans="1:3" x14ac:dyDescent="0.2">
      <c r="A4" t="s">
        <v>32</v>
      </c>
      <c r="B4" t="s">
        <v>33</v>
      </c>
      <c r="C4" t="s">
        <v>91</v>
      </c>
    </row>
    <row r="5" spans="1:3" x14ac:dyDescent="0.2">
      <c r="A5" t="s">
        <v>33</v>
      </c>
      <c r="B5" t="s">
        <v>34</v>
      </c>
      <c r="C5" t="s">
        <v>91</v>
      </c>
    </row>
    <row r="6" spans="1:3" x14ac:dyDescent="0.2">
      <c r="A6" t="s">
        <v>34</v>
      </c>
      <c r="B6" t="s">
        <v>35</v>
      </c>
      <c r="C6" t="s">
        <v>91</v>
      </c>
    </row>
    <row r="7" spans="1:3" x14ac:dyDescent="0.2">
      <c r="A7" t="s">
        <v>35</v>
      </c>
      <c r="B7" t="s">
        <v>36</v>
      </c>
      <c r="C7" t="s">
        <v>91</v>
      </c>
    </row>
    <row r="8" spans="1:3" x14ac:dyDescent="0.2">
      <c r="A8" t="s">
        <v>36</v>
      </c>
      <c r="B8" t="s">
        <v>37</v>
      </c>
      <c r="C8" t="s">
        <v>91</v>
      </c>
    </row>
    <row r="9" spans="1:3" x14ac:dyDescent="0.2">
      <c r="A9" t="s">
        <v>37</v>
      </c>
      <c r="B9" t="s">
        <v>38</v>
      </c>
      <c r="C9" t="s">
        <v>91</v>
      </c>
    </row>
    <row r="10" spans="1:3" x14ac:dyDescent="0.2">
      <c r="A10" t="s">
        <v>38</v>
      </c>
      <c r="B10" t="s">
        <v>39</v>
      </c>
      <c r="C10" t="s">
        <v>91</v>
      </c>
    </row>
    <row r="11" spans="1:3" x14ac:dyDescent="0.2">
      <c r="A11" t="s">
        <v>39</v>
      </c>
      <c r="B11" t="s">
        <v>40</v>
      </c>
      <c r="C11" t="s">
        <v>91</v>
      </c>
    </row>
    <row r="12" spans="1:3" x14ac:dyDescent="0.2">
      <c r="A12" t="s">
        <v>40</v>
      </c>
      <c r="B12" t="s">
        <v>41</v>
      </c>
      <c r="C12" t="s">
        <v>91</v>
      </c>
    </row>
    <row r="13" spans="1:3" x14ac:dyDescent="0.2">
      <c r="A13" t="s">
        <v>41</v>
      </c>
      <c r="B13" t="s">
        <v>42</v>
      </c>
      <c r="C13" t="s">
        <v>91</v>
      </c>
    </row>
    <row r="14" spans="1:3" x14ac:dyDescent="0.2">
      <c r="A14" t="s">
        <v>42</v>
      </c>
      <c r="B14" t="s">
        <v>43</v>
      </c>
      <c r="C14" t="s">
        <v>91</v>
      </c>
    </row>
    <row r="15" spans="1:3" x14ac:dyDescent="0.2">
      <c r="A15" t="s">
        <v>43</v>
      </c>
      <c r="B15" t="s">
        <v>44</v>
      </c>
      <c r="C15" t="s">
        <v>91</v>
      </c>
    </row>
    <row r="16" spans="1:3" x14ac:dyDescent="0.2">
      <c r="A16" t="s">
        <v>44</v>
      </c>
      <c r="B16" t="s">
        <v>45</v>
      </c>
      <c r="C16" t="s">
        <v>91</v>
      </c>
    </row>
    <row r="17" spans="1:3" x14ac:dyDescent="0.2">
      <c r="A17" t="s">
        <v>45</v>
      </c>
      <c r="B17" t="s">
        <v>46</v>
      </c>
      <c r="C17" t="s">
        <v>91</v>
      </c>
    </row>
    <row r="18" spans="1:3" x14ac:dyDescent="0.2">
      <c r="A18" t="s">
        <v>46</v>
      </c>
      <c r="B18" t="s">
        <v>47</v>
      </c>
      <c r="C18" t="s">
        <v>91</v>
      </c>
    </row>
    <row r="19" spans="1:3" x14ac:dyDescent="0.2">
      <c r="A19" t="s">
        <v>47</v>
      </c>
      <c r="B19" t="s">
        <v>48</v>
      </c>
      <c r="C19" t="s">
        <v>91</v>
      </c>
    </row>
    <row r="20" spans="1:3" x14ac:dyDescent="0.2">
      <c r="A20" t="s">
        <v>48</v>
      </c>
      <c r="B20" t="s">
        <v>49</v>
      </c>
      <c r="C20" t="s">
        <v>91</v>
      </c>
    </row>
    <row r="21" spans="1:3" x14ac:dyDescent="0.2">
      <c r="A21" t="s">
        <v>49</v>
      </c>
      <c r="B21" t="s">
        <v>50</v>
      </c>
      <c r="C21" t="s">
        <v>91</v>
      </c>
    </row>
    <row r="22" spans="1:3" x14ac:dyDescent="0.2">
      <c r="A22" t="s">
        <v>50</v>
      </c>
      <c r="B22" t="s">
        <v>51</v>
      </c>
      <c r="C22" t="s">
        <v>91</v>
      </c>
    </row>
    <row r="23" spans="1:3" x14ac:dyDescent="0.2">
      <c r="A23" t="s">
        <v>51</v>
      </c>
      <c r="B23" t="s">
        <v>52</v>
      </c>
      <c r="C23" t="s">
        <v>91</v>
      </c>
    </row>
    <row r="24" spans="1:3" x14ac:dyDescent="0.2">
      <c r="A24" t="s">
        <v>52</v>
      </c>
      <c r="B24" t="s">
        <v>53</v>
      </c>
      <c r="C24" t="s">
        <v>91</v>
      </c>
    </row>
    <row r="25" spans="1:3" x14ac:dyDescent="0.2">
      <c r="A25" t="s">
        <v>53</v>
      </c>
      <c r="B25" t="s">
        <v>54</v>
      </c>
      <c r="C25" t="s">
        <v>91</v>
      </c>
    </row>
    <row r="26" spans="1:3" x14ac:dyDescent="0.2">
      <c r="A26" t="s">
        <v>131</v>
      </c>
      <c r="B26" t="s">
        <v>132</v>
      </c>
      <c r="C26" t="s">
        <v>92</v>
      </c>
    </row>
    <row r="27" spans="1:3" x14ac:dyDescent="0.2">
      <c r="A27" t="s">
        <v>132</v>
      </c>
      <c r="B27" t="s">
        <v>133</v>
      </c>
      <c r="C27" t="s">
        <v>92</v>
      </c>
    </row>
    <row r="28" spans="1:3" x14ac:dyDescent="0.2">
      <c r="A28" t="s">
        <v>133</v>
      </c>
      <c r="B28" t="s">
        <v>134</v>
      </c>
      <c r="C28" t="s">
        <v>92</v>
      </c>
    </row>
    <row r="29" spans="1:3" x14ac:dyDescent="0.2">
      <c r="A29" t="s">
        <v>134</v>
      </c>
      <c r="B29" t="s">
        <v>135</v>
      </c>
      <c r="C29" t="s">
        <v>92</v>
      </c>
    </row>
    <row r="30" spans="1:3" x14ac:dyDescent="0.2">
      <c r="A30" t="s">
        <v>135</v>
      </c>
      <c r="B30" t="s">
        <v>136</v>
      </c>
      <c r="C30" t="s">
        <v>92</v>
      </c>
    </row>
    <row r="31" spans="1:3" x14ac:dyDescent="0.2">
      <c r="A31" t="s">
        <v>136</v>
      </c>
      <c r="B31" t="s">
        <v>137</v>
      </c>
      <c r="C31" t="s">
        <v>92</v>
      </c>
    </row>
    <row r="32" spans="1:3" x14ac:dyDescent="0.2">
      <c r="A32" t="s">
        <v>137</v>
      </c>
      <c r="B32" t="s">
        <v>138</v>
      </c>
      <c r="C32" t="s">
        <v>92</v>
      </c>
    </row>
    <row r="33" spans="1:3" x14ac:dyDescent="0.2">
      <c r="A33" t="s">
        <v>138</v>
      </c>
      <c r="B33" t="s">
        <v>139</v>
      </c>
      <c r="C33" t="s">
        <v>92</v>
      </c>
    </row>
    <row r="34" spans="1:3" x14ac:dyDescent="0.2">
      <c r="A34" t="s">
        <v>139</v>
      </c>
      <c r="B34" t="s">
        <v>140</v>
      </c>
      <c r="C34" t="s">
        <v>92</v>
      </c>
    </row>
    <row r="35" spans="1:3" x14ac:dyDescent="0.2">
      <c r="A35" t="s">
        <v>140</v>
      </c>
      <c r="B35" t="s">
        <v>141</v>
      </c>
      <c r="C35" t="s">
        <v>92</v>
      </c>
    </row>
    <row r="36" spans="1:3" x14ac:dyDescent="0.2">
      <c r="A36" t="s">
        <v>141</v>
      </c>
      <c r="B36" t="s">
        <v>142</v>
      </c>
      <c r="C36" t="s">
        <v>92</v>
      </c>
    </row>
    <row r="37" spans="1:3" x14ac:dyDescent="0.2">
      <c r="A37" t="s">
        <v>142</v>
      </c>
      <c r="B37" t="s">
        <v>143</v>
      </c>
      <c r="C37" t="s">
        <v>92</v>
      </c>
    </row>
    <row r="38" spans="1:3" x14ac:dyDescent="0.2">
      <c r="A38" t="s">
        <v>143</v>
      </c>
      <c r="B38" t="s">
        <v>144</v>
      </c>
      <c r="C38" t="s">
        <v>92</v>
      </c>
    </row>
    <row r="39" spans="1:3" x14ac:dyDescent="0.2">
      <c r="A39" t="s">
        <v>144</v>
      </c>
      <c r="B39" t="s">
        <v>145</v>
      </c>
      <c r="C39" t="s">
        <v>92</v>
      </c>
    </row>
    <row r="40" spans="1:3" x14ac:dyDescent="0.2">
      <c r="A40" t="s">
        <v>145</v>
      </c>
      <c r="B40" t="s">
        <v>146</v>
      </c>
      <c r="C40" t="s">
        <v>92</v>
      </c>
    </row>
    <row r="41" spans="1:3" x14ac:dyDescent="0.2">
      <c r="A41" t="s">
        <v>146</v>
      </c>
      <c r="B41" t="s">
        <v>147</v>
      </c>
      <c r="C41" t="s">
        <v>92</v>
      </c>
    </row>
    <row r="42" spans="1:3" x14ac:dyDescent="0.2">
      <c r="A42" t="s">
        <v>147</v>
      </c>
      <c r="B42" t="s">
        <v>148</v>
      </c>
      <c r="C42" t="s">
        <v>92</v>
      </c>
    </row>
    <row r="43" spans="1:3" x14ac:dyDescent="0.2">
      <c r="A43" t="s">
        <v>148</v>
      </c>
      <c r="B43" t="s">
        <v>149</v>
      </c>
      <c r="C43" t="s">
        <v>92</v>
      </c>
    </row>
    <row r="44" spans="1:3" x14ac:dyDescent="0.2">
      <c r="A44" t="s">
        <v>149</v>
      </c>
      <c r="B44" t="s">
        <v>150</v>
      </c>
      <c r="C44" t="s">
        <v>92</v>
      </c>
    </row>
    <row r="45" spans="1:3" x14ac:dyDescent="0.2">
      <c r="A45" t="s">
        <v>150</v>
      </c>
      <c r="B45" t="s">
        <v>151</v>
      </c>
      <c r="C45" t="s">
        <v>92</v>
      </c>
    </row>
    <row r="46" spans="1:3" x14ac:dyDescent="0.2">
      <c r="A46" t="s">
        <v>151</v>
      </c>
      <c r="B46" t="s">
        <v>152</v>
      </c>
      <c r="C46" t="s">
        <v>92</v>
      </c>
    </row>
    <row r="47" spans="1:3" x14ac:dyDescent="0.2">
      <c r="A47" t="s">
        <v>152</v>
      </c>
      <c r="B47" t="s">
        <v>153</v>
      </c>
      <c r="C47" t="s">
        <v>92</v>
      </c>
    </row>
    <row r="48" spans="1:3" x14ac:dyDescent="0.2">
      <c r="A48" t="s">
        <v>153</v>
      </c>
      <c r="B48" t="s">
        <v>154</v>
      </c>
      <c r="C48" t="s">
        <v>92</v>
      </c>
    </row>
    <row r="49" spans="1:3" x14ac:dyDescent="0.2">
      <c r="A49" t="s">
        <v>154</v>
      </c>
      <c r="B49" t="s">
        <v>155</v>
      </c>
      <c r="C49" t="s">
        <v>92</v>
      </c>
    </row>
    <row r="50" spans="1:3" x14ac:dyDescent="0.2">
      <c r="A50" t="s">
        <v>202</v>
      </c>
      <c r="B50" t="s">
        <v>203</v>
      </c>
      <c r="C50" t="s">
        <v>93</v>
      </c>
    </row>
    <row r="51" spans="1:3" x14ac:dyDescent="0.2">
      <c r="A51" t="s">
        <v>203</v>
      </c>
      <c r="B51" t="s">
        <v>204</v>
      </c>
      <c r="C51" t="s">
        <v>93</v>
      </c>
    </row>
    <row r="52" spans="1:3" x14ac:dyDescent="0.2">
      <c r="A52" t="s">
        <v>204</v>
      </c>
      <c r="B52" t="s">
        <v>205</v>
      </c>
      <c r="C52" t="s">
        <v>93</v>
      </c>
    </row>
    <row r="53" spans="1:3" x14ac:dyDescent="0.2">
      <c r="A53" t="s">
        <v>205</v>
      </c>
      <c r="B53" t="s">
        <v>206</v>
      </c>
      <c r="C53" t="s">
        <v>93</v>
      </c>
    </row>
    <row r="54" spans="1:3" x14ac:dyDescent="0.2">
      <c r="A54" t="s">
        <v>206</v>
      </c>
      <c r="B54" t="s">
        <v>207</v>
      </c>
      <c r="C54" t="s">
        <v>93</v>
      </c>
    </row>
    <row r="55" spans="1:3" x14ac:dyDescent="0.2">
      <c r="A55" t="s">
        <v>207</v>
      </c>
      <c r="B55" t="s">
        <v>208</v>
      </c>
      <c r="C55" t="s">
        <v>93</v>
      </c>
    </row>
    <row r="56" spans="1:3" x14ac:dyDescent="0.2">
      <c r="A56" t="s">
        <v>208</v>
      </c>
      <c r="B56" t="s">
        <v>209</v>
      </c>
      <c r="C56" t="s">
        <v>93</v>
      </c>
    </row>
    <row r="57" spans="1:3" x14ac:dyDescent="0.2">
      <c r="A57" t="s">
        <v>209</v>
      </c>
      <c r="B57" t="s">
        <v>210</v>
      </c>
      <c r="C57" t="s">
        <v>93</v>
      </c>
    </row>
    <row r="58" spans="1:3" x14ac:dyDescent="0.2">
      <c r="A58" t="s">
        <v>210</v>
      </c>
      <c r="B58" t="s">
        <v>211</v>
      </c>
      <c r="C58" t="s">
        <v>93</v>
      </c>
    </row>
    <row r="59" spans="1:3" x14ac:dyDescent="0.2">
      <c r="A59" t="s">
        <v>211</v>
      </c>
      <c r="B59" t="s">
        <v>212</v>
      </c>
      <c r="C59" t="s">
        <v>93</v>
      </c>
    </row>
    <row r="60" spans="1:3" x14ac:dyDescent="0.2">
      <c r="A60" t="s">
        <v>212</v>
      </c>
      <c r="B60" s="8" t="s">
        <v>213</v>
      </c>
      <c r="C60" t="s">
        <v>93</v>
      </c>
    </row>
    <row r="61" spans="1:3" x14ac:dyDescent="0.2">
      <c r="A61" s="8" t="s">
        <v>213</v>
      </c>
      <c r="B61" t="s">
        <v>214</v>
      </c>
      <c r="C61" t="s">
        <v>93</v>
      </c>
    </row>
    <row r="62" spans="1:3" x14ac:dyDescent="0.2">
      <c r="A62" t="s">
        <v>214</v>
      </c>
      <c r="B62" t="s">
        <v>215</v>
      </c>
      <c r="C62" t="s">
        <v>93</v>
      </c>
    </row>
    <row r="63" spans="1:3" x14ac:dyDescent="0.2">
      <c r="A63" t="s">
        <v>215</v>
      </c>
      <c r="B63" t="s">
        <v>216</v>
      </c>
      <c r="C63" t="s">
        <v>93</v>
      </c>
    </row>
    <row r="64" spans="1:3" x14ac:dyDescent="0.2">
      <c r="A64" t="s">
        <v>216</v>
      </c>
      <c r="B64" t="s">
        <v>217</v>
      </c>
      <c r="C64" t="s">
        <v>93</v>
      </c>
    </row>
    <row r="65" spans="1:3" x14ac:dyDescent="0.2">
      <c r="A65" t="s">
        <v>217</v>
      </c>
      <c r="B65" t="s">
        <v>218</v>
      </c>
      <c r="C65" t="s">
        <v>93</v>
      </c>
    </row>
    <row r="66" spans="1:3" x14ac:dyDescent="0.2">
      <c r="A66" t="s">
        <v>218</v>
      </c>
      <c r="B66" t="s">
        <v>219</v>
      </c>
      <c r="C66" t="s">
        <v>93</v>
      </c>
    </row>
    <row r="67" spans="1:3" x14ac:dyDescent="0.2">
      <c r="A67" t="s">
        <v>219</v>
      </c>
      <c r="B67" t="s">
        <v>220</v>
      </c>
      <c r="C67" t="s">
        <v>93</v>
      </c>
    </row>
    <row r="68" spans="1:3" x14ac:dyDescent="0.2">
      <c r="A68" t="s">
        <v>220</v>
      </c>
      <c r="B68" t="s">
        <v>221</v>
      </c>
      <c r="C68" t="s">
        <v>93</v>
      </c>
    </row>
    <row r="69" spans="1:3" x14ac:dyDescent="0.2">
      <c r="A69" t="s">
        <v>221</v>
      </c>
      <c r="B69" t="s">
        <v>222</v>
      </c>
      <c r="C69" t="s">
        <v>93</v>
      </c>
    </row>
    <row r="70" spans="1:3" x14ac:dyDescent="0.2">
      <c r="A70" t="s">
        <v>222</v>
      </c>
      <c r="B70" t="s">
        <v>223</v>
      </c>
      <c r="C70" t="s">
        <v>93</v>
      </c>
    </row>
    <row r="71" spans="1:3" x14ac:dyDescent="0.2">
      <c r="A71" t="s">
        <v>223</v>
      </c>
      <c r="B71" t="s">
        <v>224</v>
      </c>
      <c r="C71" t="s">
        <v>93</v>
      </c>
    </row>
    <row r="72" spans="1:3" x14ac:dyDescent="0.2">
      <c r="A72" t="s">
        <v>224</v>
      </c>
      <c r="B72" t="s">
        <v>225</v>
      </c>
      <c r="C72" t="s">
        <v>93</v>
      </c>
    </row>
    <row r="73" spans="1:3" x14ac:dyDescent="0.2">
      <c r="A73" t="s">
        <v>225</v>
      </c>
      <c r="B73" t="s">
        <v>226</v>
      </c>
      <c r="C73" t="s">
        <v>93</v>
      </c>
    </row>
    <row r="74" spans="1:3" x14ac:dyDescent="0.2">
      <c r="A74" t="s">
        <v>263</v>
      </c>
      <c r="B74" t="s">
        <v>264</v>
      </c>
      <c r="C74" t="s">
        <v>262</v>
      </c>
    </row>
    <row r="75" spans="1:3" x14ac:dyDescent="0.2">
      <c r="A75" t="s">
        <v>264</v>
      </c>
      <c r="B75" t="s">
        <v>265</v>
      </c>
      <c r="C75" t="s">
        <v>262</v>
      </c>
    </row>
    <row r="76" spans="1:3" x14ac:dyDescent="0.2">
      <c r="A76" t="s">
        <v>265</v>
      </c>
      <c r="B76" t="s">
        <v>266</v>
      </c>
      <c r="C76" t="s">
        <v>262</v>
      </c>
    </row>
    <row r="77" spans="1:3" x14ac:dyDescent="0.2">
      <c r="A77" t="s">
        <v>279</v>
      </c>
      <c r="B77" t="s">
        <v>280</v>
      </c>
      <c r="C77" t="s">
        <v>94</v>
      </c>
    </row>
    <row r="78" spans="1:3" x14ac:dyDescent="0.2">
      <c r="A78" t="s">
        <v>280</v>
      </c>
      <c r="B78" t="s">
        <v>281</v>
      </c>
      <c r="C78" t="s">
        <v>94</v>
      </c>
    </row>
    <row r="79" spans="1:3" x14ac:dyDescent="0.2">
      <c r="A79" t="s">
        <v>281</v>
      </c>
      <c r="B79" t="s">
        <v>282</v>
      </c>
      <c r="C79" t="s">
        <v>94</v>
      </c>
    </row>
    <row r="80" spans="1:3" x14ac:dyDescent="0.2">
      <c r="A80" t="s">
        <v>282</v>
      </c>
      <c r="B80" t="s">
        <v>283</v>
      </c>
      <c r="C80" t="s">
        <v>94</v>
      </c>
    </row>
    <row r="81" spans="1:3" x14ac:dyDescent="0.2">
      <c r="A81" t="s">
        <v>283</v>
      </c>
      <c r="B81" t="s">
        <v>284</v>
      </c>
      <c r="C81" t="s">
        <v>94</v>
      </c>
    </row>
    <row r="82" spans="1:3" x14ac:dyDescent="0.2">
      <c r="A82" t="s">
        <v>284</v>
      </c>
      <c r="B82" t="s">
        <v>285</v>
      </c>
      <c r="C82" t="s">
        <v>94</v>
      </c>
    </row>
    <row r="83" spans="1:3" x14ac:dyDescent="0.2">
      <c r="A83" t="s">
        <v>285</v>
      </c>
      <c r="B83" t="s">
        <v>286</v>
      </c>
      <c r="C83" t="s">
        <v>94</v>
      </c>
    </row>
    <row r="84" spans="1:3" x14ac:dyDescent="0.2">
      <c r="A84" t="s">
        <v>286</v>
      </c>
      <c r="B84" t="s">
        <v>287</v>
      </c>
      <c r="C84" t="s">
        <v>94</v>
      </c>
    </row>
    <row r="85" spans="1:3" x14ac:dyDescent="0.2">
      <c r="A85" t="s">
        <v>287</v>
      </c>
      <c r="B85" t="s">
        <v>288</v>
      </c>
      <c r="C85" t="s">
        <v>94</v>
      </c>
    </row>
    <row r="86" spans="1:3" x14ac:dyDescent="0.2">
      <c r="A86" t="s">
        <v>288</v>
      </c>
      <c r="B86" t="s">
        <v>289</v>
      </c>
      <c r="C86" t="s">
        <v>94</v>
      </c>
    </row>
    <row r="87" spans="1:3" x14ac:dyDescent="0.2">
      <c r="A87" t="s">
        <v>289</v>
      </c>
      <c r="B87" t="s">
        <v>290</v>
      </c>
      <c r="C87" t="s">
        <v>94</v>
      </c>
    </row>
    <row r="88" spans="1:3" x14ac:dyDescent="0.2">
      <c r="A88" t="s">
        <v>290</v>
      </c>
      <c r="B88" t="s">
        <v>291</v>
      </c>
      <c r="C88" t="s">
        <v>94</v>
      </c>
    </row>
    <row r="89" spans="1:3" x14ac:dyDescent="0.2">
      <c r="A89" t="s">
        <v>291</v>
      </c>
      <c r="B89" t="s">
        <v>292</v>
      </c>
      <c r="C89" t="s">
        <v>94</v>
      </c>
    </row>
    <row r="90" spans="1:3" x14ac:dyDescent="0.2">
      <c r="A90" t="s">
        <v>292</v>
      </c>
      <c r="B90" t="s">
        <v>293</v>
      </c>
      <c r="C90" t="s">
        <v>94</v>
      </c>
    </row>
    <row r="91" spans="1:3" x14ac:dyDescent="0.2">
      <c r="A91" t="s">
        <v>293</v>
      </c>
      <c r="B91" t="s">
        <v>294</v>
      </c>
      <c r="C91" t="s">
        <v>94</v>
      </c>
    </row>
    <row r="92" spans="1:3" x14ac:dyDescent="0.2">
      <c r="A92" t="s">
        <v>294</v>
      </c>
      <c r="B92" t="s">
        <v>295</v>
      </c>
      <c r="C92" t="s">
        <v>94</v>
      </c>
    </row>
    <row r="93" spans="1:3" x14ac:dyDescent="0.2">
      <c r="A93" t="s">
        <v>295</v>
      </c>
      <c r="B93" t="s">
        <v>296</v>
      </c>
      <c r="C93" t="s">
        <v>94</v>
      </c>
    </row>
    <row r="94" spans="1:3" x14ac:dyDescent="0.2">
      <c r="A94" t="s">
        <v>296</v>
      </c>
      <c r="B94" t="s">
        <v>297</v>
      </c>
      <c r="C94" t="s">
        <v>94</v>
      </c>
    </row>
    <row r="95" spans="1:3" x14ac:dyDescent="0.2">
      <c r="A95" t="s">
        <v>297</v>
      </c>
      <c r="B95" t="s">
        <v>298</v>
      </c>
      <c r="C95" t="s">
        <v>94</v>
      </c>
    </row>
    <row r="96" spans="1:3" x14ac:dyDescent="0.2">
      <c r="A96" t="s">
        <v>298</v>
      </c>
      <c r="B96" t="s">
        <v>299</v>
      </c>
      <c r="C96" t="s">
        <v>94</v>
      </c>
    </row>
    <row r="97" spans="1:3" x14ac:dyDescent="0.2">
      <c r="A97" t="s">
        <v>299</v>
      </c>
      <c r="B97" t="s">
        <v>300</v>
      </c>
      <c r="C97" t="s">
        <v>94</v>
      </c>
    </row>
    <row r="98" spans="1:3" x14ac:dyDescent="0.2">
      <c r="A98" t="s">
        <v>300</v>
      </c>
      <c r="B98" t="s">
        <v>301</v>
      </c>
      <c r="C98" t="s">
        <v>94</v>
      </c>
    </row>
    <row r="99" spans="1:3" x14ac:dyDescent="0.2">
      <c r="A99" t="s">
        <v>301</v>
      </c>
      <c r="B99" t="s">
        <v>302</v>
      </c>
      <c r="C99" t="s">
        <v>94</v>
      </c>
    </row>
    <row r="100" spans="1:3" x14ac:dyDescent="0.2">
      <c r="A100" t="s">
        <v>302</v>
      </c>
      <c r="B100" t="s">
        <v>303</v>
      </c>
      <c r="C100" t="s">
        <v>94</v>
      </c>
    </row>
    <row r="101" spans="1:3" x14ac:dyDescent="0.2">
      <c r="A101" t="s">
        <v>303</v>
      </c>
      <c r="B101" t="s">
        <v>304</v>
      </c>
      <c r="C101" t="s">
        <v>94</v>
      </c>
    </row>
    <row r="102" spans="1:3" x14ac:dyDescent="0.2">
      <c r="A102" t="s">
        <v>304</v>
      </c>
      <c r="B102" t="s">
        <v>305</v>
      </c>
      <c r="C102" t="s">
        <v>94</v>
      </c>
    </row>
    <row r="103" spans="1:3" x14ac:dyDescent="0.2">
      <c r="A103" t="s">
        <v>378</v>
      </c>
      <c r="B103" t="s">
        <v>379</v>
      </c>
      <c r="C103" t="s">
        <v>402</v>
      </c>
    </row>
    <row r="104" spans="1:3" x14ac:dyDescent="0.2">
      <c r="A104" t="s">
        <v>379</v>
      </c>
      <c r="B104" t="s">
        <v>380</v>
      </c>
      <c r="C104" t="s">
        <v>402</v>
      </c>
    </row>
    <row r="105" spans="1:3" x14ac:dyDescent="0.2">
      <c r="A105" t="s">
        <v>380</v>
      </c>
      <c r="B105" t="s">
        <v>381</v>
      </c>
      <c r="C105" t="s">
        <v>402</v>
      </c>
    </row>
    <row r="106" spans="1:3" x14ac:dyDescent="0.2">
      <c r="A106" t="s">
        <v>381</v>
      </c>
      <c r="B106" t="s">
        <v>382</v>
      </c>
      <c r="C106" t="s">
        <v>402</v>
      </c>
    </row>
    <row r="107" spans="1:3" x14ac:dyDescent="0.2">
      <c r="A107" t="s">
        <v>382</v>
      </c>
      <c r="B107" t="s">
        <v>383</v>
      </c>
      <c r="C107" t="s">
        <v>402</v>
      </c>
    </row>
    <row r="108" spans="1:3" x14ac:dyDescent="0.2">
      <c r="A108" t="s">
        <v>383</v>
      </c>
      <c r="B108" t="s">
        <v>384</v>
      </c>
      <c r="C108" t="s">
        <v>402</v>
      </c>
    </row>
    <row r="109" spans="1:3" x14ac:dyDescent="0.2">
      <c r="A109" t="s">
        <v>384</v>
      </c>
      <c r="B109" t="s">
        <v>385</v>
      </c>
      <c r="C109" t="s">
        <v>402</v>
      </c>
    </row>
    <row r="110" spans="1:3" x14ac:dyDescent="0.2">
      <c r="A110" t="s">
        <v>385</v>
      </c>
      <c r="B110" t="s">
        <v>386</v>
      </c>
      <c r="C110" t="s">
        <v>402</v>
      </c>
    </row>
    <row r="111" spans="1:3" x14ac:dyDescent="0.2">
      <c r="A111" t="s">
        <v>386</v>
      </c>
      <c r="B111" t="s">
        <v>387</v>
      </c>
      <c r="C111" t="s">
        <v>402</v>
      </c>
    </row>
    <row r="112" spans="1:3" x14ac:dyDescent="0.2">
      <c r="A112" t="s">
        <v>387</v>
      </c>
      <c r="B112" t="s">
        <v>388</v>
      </c>
      <c r="C112" t="s">
        <v>402</v>
      </c>
    </row>
    <row r="113" spans="1:3" x14ac:dyDescent="0.2">
      <c r="A113" t="s">
        <v>388</v>
      </c>
      <c r="B113" t="s">
        <v>389</v>
      </c>
      <c r="C113" t="s">
        <v>402</v>
      </c>
    </row>
    <row r="114" spans="1:3" x14ac:dyDescent="0.2">
      <c r="A114" t="s">
        <v>389</v>
      </c>
      <c r="B114" t="s">
        <v>390</v>
      </c>
      <c r="C114" t="s">
        <v>402</v>
      </c>
    </row>
    <row r="115" spans="1:3" x14ac:dyDescent="0.2">
      <c r="A115" t="s">
        <v>390</v>
      </c>
      <c r="B115" t="s">
        <v>391</v>
      </c>
      <c r="C115" t="s">
        <v>402</v>
      </c>
    </row>
    <row r="116" spans="1:3" x14ac:dyDescent="0.2">
      <c r="A116" t="s">
        <v>391</v>
      </c>
      <c r="B116" t="s">
        <v>392</v>
      </c>
      <c r="C116" t="s">
        <v>402</v>
      </c>
    </row>
    <row r="117" spans="1:3" x14ac:dyDescent="0.2">
      <c r="A117" t="s">
        <v>392</v>
      </c>
      <c r="B117" t="s">
        <v>393</v>
      </c>
      <c r="C117" t="s">
        <v>402</v>
      </c>
    </row>
    <row r="118" spans="1:3" x14ac:dyDescent="0.2">
      <c r="A118" t="s">
        <v>393</v>
      </c>
      <c r="B118" t="s">
        <v>394</v>
      </c>
      <c r="C118" t="s">
        <v>402</v>
      </c>
    </row>
    <row r="119" spans="1:3" x14ac:dyDescent="0.2">
      <c r="A119" t="s">
        <v>394</v>
      </c>
      <c r="B119" t="s">
        <v>395</v>
      </c>
      <c r="C119" t="s">
        <v>402</v>
      </c>
    </row>
    <row r="120" spans="1:3" x14ac:dyDescent="0.2">
      <c r="A120" t="s">
        <v>395</v>
      </c>
      <c r="B120" s="8" t="s">
        <v>396</v>
      </c>
      <c r="C120" t="s">
        <v>402</v>
      </c>
    </row>
    <row r="121" spans="1:3" x14ac:dyDescent="0.2">
      <c r="A121" s="8" t="s">
        <v>396</v>
      </c>
      <c r="B121" t="s">
        <v>397</v>
      </c>
      <c r="C121" t="s">
        <v>402</v>
      </c>
    </row>
    <row r="122" spans="1:3" x14ac:dyDescent="0.2">
      <c r="A122" t="s">
        <v>397</v>
      </c>
      <c r="B122" t="s">
        <v>398</v>
      </c>
      <c r="C122" t="s">
        <v>402</v>
      </c>
    </row>
    <row r="123" spans="1:3" x14ac:dyDescent="0.2">
      <c r="A123" t="s">
        <v>398</v>
      </c>
      <c r="B123" t="s">
        <v>399</v>
      </c>
      <c r="C123" t="s">
        <v>402</v>
      </c>
    </row>
    <row r="124" spans="1:3" x14ac:dyDescent="0.2">
      <c r="A124" t="s">
        <v>400</v>
      </c>
      <c r="B124" t="s">
        <v>401</v>
      </c>
      <c r="C124" t="s">
        <v>419</v>
      </c>
    </row>
    <row r="125" spans="1:3" x14ac:dyDescent="0.2">
      <c r="A125" t="s">
        <v>401</v>
      </c>
      <c r="B125" t="s">
        <v>442</v>
      </c>
      <c r="C125" t="s">
        <v>419</v>
      </c>
    </row>
    <row r="126" spans="1:3" x14ac:dyDescent="0.2">
      <c r="A126" t="s">
        <v>442</v>
      </c>
      <c r="B126" t="s">
        <v>444</v>
      </c>
      <c r="C126" t="s">
        <v>419</v>
      </c>
    </row>
    <row r="127" spans="1:3" x14ac:dyDescent="0.2">
      <c r="A127" t="s">
        <v>444</v>
      </c>
      <c r="B127" t="s">
        <v>446</v>
      </c>
      <c r="C127" t="s">
        <v>419</v>
      </c>
    </row>
    <row r="128" spans="1:3" x14ac:dyDescent="0.2">
      <c r="A128" t="s">
        <v>446</v>
      </c>
      <c r="B128" t="s">
        <v>448</v>
      </c>
      <c r="C128" t="s">
        <v>419</v>
      </c>
    </row>
    <row r="129" spans="1:3" x14ac:dyDescent="0.2">
      <c r="A129" t="s">
        <v>448</v>
      </c>
      <c r="B129" t="s">
        <v>450</v>
      </c>
      <c r="C129" t="s">
        <v>419</v>
      </c>
    </row>
    <row r="130" spans="1:3" x14ac:dyDescent="0.2">
      <c r="A130" t="s">
        <v>450</v>
      </c>
      <c r="B130" t="s">
        <v>452</v>
      </c>
      <c r="C130" t="s">
        <v>419</v>
      </c>
    </row>
    <row r="131" spans="1:3" x14ac:dyDescent="0.2">
      <c r="A131" t="s">
        <v>452</v>
      </c>
      <c r="B131" t="s">
        <v>454</v>
      </c>
      <c r="C131" t="s">
        <v>419</v>
      </c>
    </row>
    <row r="132" spans="1:3" x14ac:dyDescent="0.2">
      <c r="A132" t="s">
        <v>454</v>
      </c>
      <c r="B132" t="s">
        <v>456</v>
      </c>
      <c r="C132" t="s">
        <v>419</v>
      </c>
    </row>
    <row r="133" spans="1:3" x14ac:dyDescent="0.2">
      <c r="A133" t="s">
        <v>456</v>
      </c>
      <c r="B133" t="s">
        <v>458</v>
      </c>
      <c r="C133" t="s">
        <v>419</v>
      </c>
    </row>
    <row r="134" spans="1:3" x14ac:dyDescent="0.2">
      <c r="A134" t="s">
        <v>458</v>
      </c>
      <c r="B134" t="s">
        <v>460</v>
      </c>
      <c r="C134" t="s">
        <v>419</v>
      </c>
    </row>
    <row r="135" spans="1:3" x14ac:dyDescent="0.2">
      <c r="A135" t="s">
        <v>460</v>
      </c>
      <c r="B135" t="s">
        <v>462</v>
      </c>
      <c r="C135" t="s">
        <v>419</v>
      </c>
    </row>
    <row r="136" spans="1:3" x14ac:dyDescent="0.2">
      <c r="A136" t="s">
        <v>462</v>
      </c>
      <c r="B136" t="s">
        <v>464</v>
      </c>
      <c r="C136" t="s">
        <v>419</v>
      </c>
    </row>
    <row r="137" spans="1:3" x14ac:dyDescent="0.2">
      <c r="A137" t="s">
        <v>464</v>
      </c>
      <c r="B137" t="s">
        <v>466</v>
      </c>
      <c r="C137" t="s">
        <v>419</v>
      </c>
    </row>
    <row r="138" spans="1:3" x14ac:dyDescent="0.2">
      <c r="A138" t="s">
        <v>466</v>
      </c>
      <c r="B138" t="s">
        <v>468</v>
      </c>
      <c r="C138" t="s">
        <v>419</v>
      </c>
    </row>
    <row r="139" spans="1:3" x14ac:dyDescent="0.2">
      <c r="A139" t="s">
        <v>468</v>
      </c>
      <c r="B139" t="s">
        <v>470</v>
      </c>
      <c r="C139" t="s">
        <v>419</v>
      </c>
    </row>
    <row r="140" spans="1:3" x14ac:dyDescent="0.2">
      <c r="A140" t="s">
        <v>470</v>
      </c>
      <c r="B140" t="s">
        <v>472</v>
      </c>
      <c r="C140" t="s">
        <v>419</v>
      </c>
    </row>
    <row r="141" spans="1:3" x14ac:dyDescent="0.2">
      <c r="A141" t="s">
        <v>472</v>
      </c>
      <c r="B141" t="s">
        <v>474</v>
      </c>
      <c r="C141" t="s">
        <v>419</v>
      </c>
    </row>
    <row r="142" spans="1:3" x14ac:dyDescent="0.2">
      <c r="A142" t="s">
        <v>474</v>
      </c>
      <c r="B142" t="s">
        <v>476</v>
      </c>
      <c r="C142" t="s">
        <v>419</v>
      </c>
    </row>
    <row r="143" spans="1:3" x14ac:dyDescent="0.2">
      <c r="A143" t="s">
        <v>476</v>
      </c>
      <c r="B143" t="s">
        <v>478</v>
      </c>
      <c r="C143" t="s">
        <v>419</v>
      </c>
    </row>
    <row r="144" spans="1:3" x14ac:dyDescent="0.2">
      <c r="A144" t="s">
        <v>478</v>
      </c>
      <c r="B144" t="s">
        <v>480</v>
      </c>
      <c r="C144" t="s">
        <v>419</v>
      </c>
    </row>
    <row r="145" spans="1:3" x14ac:dyDescent="0.2">
      <c r="A145" t="s">
        <v>480</v>
      </c>
      <c r="B145" t="s">
        <v>482</v>
      </c>
      <c r="C145" t="s">
        <v>419</v>
      </c>
    </row>
    <row r="146" spans="1:3" x14ac:dyDescent="0.2">
      <c r="A146" t="s">
        <v>482</v>
      </c>
      <c r="B146" s="8" t="s">
        <v>484</v>
      </c>
      <c r="C146" t="s">
        <v>419</v>
      </c>
    </row>
    <row r="147" spans="1:3" x14ac:dyDescent="0.2">
      <c r="A147" s="8" t="s">
        <v>484</v>
      </c>
      <c r="B147" t="s">
        <v>486</v>
      </c>
      <c r="C147" t="s">
        <v>419</v>
      </c>
    </row>
    <row r="148" spans="1:3" x14ac:dyDescent="0.2">
      <c r="A148" t="s">
        <v>486</v>
      </c>
      <c r="B148" t="s">
        <v>488</v>
      </c>
      <c r="C148" t="s">
        <v>419</v>
      </c>
    </row>
    <row r="149" spans="1:3" x14ac:dyDescent="0.2">
      <c r="A149" t="s">
        <v>488</v>
      </c>
      <c r="B149" t="s">
        <v>490</v>
      </c>
      <c r="C149" t="s">
        <v>419</v>
      </c>
    </row>
    <row r="150" spans="1:3" x14ac:dyDescent="0.2">
      <c r="A150" t="s">
        <v>490</v>
      </c>
      <c r="B150" t="s">
        <v>492</v>
      </c>
      <c r="C150" t="s">
        <v>419</v>
      </c>
    </row>
    <row r="151" spans="1:3" x14ac:dyDescent="0.2">
      <c r="A151" t="s">
        <v>569</v>
      </c>
      <c r="B151" t="s">
        <v>570</v>
      </c>
      <c r="C151" t="s">
        <v>493</v>
      </c>
    </row>
    <row r="152" spans="1:3" x14ac:dyDescent="0.2">
      <c r="A152" t="s">
        <v>570</v>
      </c>
      <c r="B152" t="s">
        <v>572</v>
      </c>
      <c r="C152" t="s">
        <v>493</v>
      </c>
    </row>
    <row r="153" spans="1:3" x14ac:dyDescent="0.2">
      <c r="A153" t="s">
        <v>572</v>
      </c>
      <c r="B153" s="8" t="s">
        <v>574</v>
      </c>
      <c r="C153" t="s">
        <v>493</v>
      </c>
    </row>
    <row r="154" spans="1:3" x14ac:dyDescent="0.2">
      <c r="A154" s="8" t="s">
        <v>574</v>
      </c>
      <c r="B154" t="s">
        <v>576</v>
      </c>
      <c r="C154" t="s">
        <v>493</v>
      </c>
    </row>
    <row r="155" spans="1:3" x14ac:dyDescent="0.2">
      <c r="A155" t="s">
        <v>576</v>
      </c>
      <c r="B155" t="s">
        <v>578</v>
      </c>
      <c r="C155" t="s">
        <v>493</v>
      </c>
    </row>
    <row r="156" spans="1:3" x14ac:dyDescent="0.2">
      <c r="A156" t="s">
        <v>578</v>
      </c>
      <c r="B156" t="s">
        <v>580</v>
      </c>
      <c r="C156" t="s">
        <v>493</v>
      </c>
    </row>
    <row r="157" spans="1:3" x14ac:dyDescent="0.2">
      <c r="A157" t="s">
        <v>580</v>
      </c>
      <c r="B157" t="s">
        <v>582</v>
      </c>
      <c r="C157" t="s">
        <v>493</v>
      </c>
    </row>
    <row r="158" spans="1:3" x14ac:dyDescent="0.2">
      <c r="A158" t="s">
        <v>582</v>
      </c>
      <c r="B158" t="s">
        <v>584</v>
      </c>
      <c r="C158" t="s">
        <v>493</v>
      </c>
    </row>
    <row r="159" spans="1:3" x14ac:dyDescent="0.2">
      <c r="A159" t="s">
        <v>584</v>
      </c>
      <c r="B159" t="s">
        <v>586</v>
      </c>
      <c r="C159" t="s">
        <v>493</v>
      </c>
    </row>
    <row r="160" spans="1:3" x14ac:dyDescent="0.2">
      <c r="A160" t="s">
        <v>586</v>
      </c>
      <c r="B160" t="s">
        <v>588</v>
      </c>
      <c r="C160" t="s">
        <v>493</v>
      </c>
    </row>
    <row r="161" spans="1:3" x14ac:dyDescent="0.2">
      <c r="A161" t="s">
        <v>588</v>
      </c>
      <c r="B161" t="s">
        <v>590</v>
      </c>
      <c r="C161" t="s">
        <v>493</v>
      </c>
    </row>
    <row r="162" spans="1:3" x14ac:dyDescent="0.2">
      <c r="A162" t="s">
        <v>590</v>
      </c>
      <c r="B162" t="s">
        <v>592</v>
      </c>
      <c r="C162" t="s">
        <v>493</v>
      </c>
    </row>
    <row r="163" spans="1:3" x14ac:dyDescent="0.2">
      <c r="A163" t="s">
        <v>592</v>
      </c>
      <c r="B163" t="s">
        <v>594</v>
      </c>
      <c r="C163" t="s">
        <v>493</v>
      </c>
    </row>
    <row r="164" spans="1:3" x14ac:dyDescent="0.2">
      <c r="A164" t="s">
        <v>594</v>
      </c>
      <c r="B164" t="s">
        <v>596</v>
      </c>
      <c r="C164" t="s">
        <v>493</v>
      </c>
    </row>
    <row r="165" spans="1:3" x14ac:dyDescent="0.2">
      <c r="A165" t="s">
        <v>596</v>
      </c>
      <c r="B165" s="8" t="s">
        <v>598</v>
      </c>
      <c r="C165" t="s">
        <v>493</v>
      </c>
    </row>
    <row r="166" spans="1:3" x14ac:dyDescent="0.2">
      <c r="A166" s="8" t="s">
        <v>598</v>
      </c>
      <c r="B166" t="s">
        <v>600</v>
      </c>
      <c r="C166" t="s">
        <v>493</v>
      </c>
    </row>
    <row r="167" spans="1:3" x14ac:dyDescent="0.2">
      <c r="A167" t="s">
        <v>600</v>
      </c>
      <c r="B167" t="s">
        <v>602</v>
      </c>
      <c r="C167" t="s">
        <v>493</v>
      </c>
    </row>
    <row r="168" spans="1:3" x14ac:dyDescent="0.2">
      <c r="A168" t="s">
        <v>602</v>
      </c>
      <c r="B168" s="8" t="s">
        <v>604</v>
      </c>
      <c r="C168" t="s">
        <v>493</v>
      </c>
    </row>
    <row r="169" spans="1:3" x14ac:dyDescent="0.2">
      <c r="A169" s="8" t="s">
        <v>604</v>
      </c>
      <c r="B169" t="s">
        <v>606</v>
      </c>
      <c r="C169" t="s">
        <v>493</v>
      </c>
    </row>
    <row r="170" spans="1:3" x14ac:dyDescent="0.2">
      <c r="A170" t="s">
        <v>606</v>
      </c>
      <c r="B170" t="s">
        <v>608</v>
      </c>
      <c r="C170" t="s">
        <v>493</v>
      </c>
    </row>
    <row r="171" spans="1:3" x14ac:dyDescent="0.2">
      <c r="A171" t="s">
        <v>608</v>
      </c>
      <c r="B171" t="s">
        <v>610</v>
      </c>
      <c r="C171" t="s">
        <v>493</v>
      </c>
    </row>
    <row r="172" spans="1:3" x14ac:dyDescent="0.2">
      <c r="A172" t="s">
        <v>610</v>
      </c>
      <c r="B172" t="s">
        <v>612</v>
      </c>
      <c r="C172" t="s">
        <v>493</v>
      </c>
    </row>
    <row r="173" spans="1:3" x14ac:dyDescent="0.2">
      <c r="A173" t="s">
        <v>612</v>
      </c>
      <c r="B173" t="s">
        <v>614</v>
      </c>
      <c r="C173" t="s">
        <v>493</v>
      </c>
    </row>
    <row r="174" spans="1:3" x14ac:dyDescent="0.2">
      <c r="A174" t="s">
        <v>614</v>
      </c>
      <c r="B174" t="s">
        <v>616</v>
      </c>
      <c r="C174" t="s">
        <v>493</v>
      </c>
    </row>
    <row r="175" spans="1:3" x14ac:dyDescent="0.2">
      <c r="A175" t="s">
        <v>616</v>
      </c>
      <c r="B175" t="s">
        <v>618</v>
      </c>
      <c r="C175" t="s">
        <v>493</v>
      </c>
    </row>
    <row r="176" spans="1:3" x14ac:dyDescent="0.2">
      <c r="A176" t="s">
        <v>618</v>
      </c>
      <c r="B176" t="s">
        <v>620</v>
      </c>
      <c r="C176" t="s">
        <v>493</v>
      </c>
    </row>
    <row r="177" spans="1:3" x14ac:dyDescent="0.2">
      <c r="A177" t="s">
        <v>620</v>
      </c>
      <c r="B177" t="s">
        <v>622</v>
      </c>
      <c r="C177" t="s">
        <v>493</v>
      </c>
    </row>
    <row r="178" spans="1:3" x14ac:dyDescent="0.2">
      <c r="A178" t="s">
        <v>622</v>
      </c>
      <c r="B178" t="s">
        <v>624</v>
      </c>
      <c r="C178" t="s">
        <v>493</v>
      </c>
    </row>
    <row r="179" spans="1:3" x14ac:dyDescent="0.2">
      <c r="A179" t="s">
        <v>624</v>
      </c>
      <c r="B179" t="s">
        <v>626</v>
      </c>
      <c r="C179" t="s">
        <v>493</v>
      </c>
    </row>
    <row r="180" spans="1:3" x14ac:dyDescent="0.2">
      <c r="A180" t="s">
        <v>624</v>
      </c>
      <c r="B180" t="s">
        <v>635</v>
      </c>
      <c r="C180" t="s">
        <v>493</v>
      </c>
    </row>
    <row r="181" spans="1:3" x14ac:dyDescent="0.2">
      <c r="A181" t="s">
        <v>626</v>
      </c>
      <c r="B181" t="s">
        <v>628</v>
      </c>
      <c r="C181" t="s">
        <v>493</v>
      </c>
    </row>
    <row r="182" spans="1:3" x14ac:dyDescent="0.2">
      <c r="A182" t="s">
        <v>628</v>
      </c>
      <c r="B182" t="s">
        <v>630</v>
      </c>
      <c r="C182" t="s">
        <v>493</v>
      </c>
    </row>
    <row r="183" spans="1:3" x14ac:dyDescent="0.2">
      <c r="A183" t="s">
        <v>630</v>
      </c>
      <c r="B183" t="s">
        <v>632</v>
      </c>
      <c r="C183" t="s">
        <v>493</v>
      </c>
    </row>
    <row r="184" spans="1:3" x14ac:dyDescent="0.2">
      <c r="A184" t="s">
        <v>632</v>
      </c>
      <c r="B184" t="s">
        <v>634</v>
      </c>
      <c r="C184" t="s">
        <v>493</v>
      </c>
    </row>
    <row r="185" spans="1:3" x14ac:dyDescent="0.2">
      <c r="A185" t="s">
        <v>635</v>
      </c>
      <c r="B185" t="s">
        <v>637</v>
      </c>
      <c r="C185" t="s">
        <v>493</v>
      </c>
    </row>
    <row r="186" spans="1:3" x14ac:dyDescent="0.2">
      <c r="A186" t="s">
        <v>637</v>
      </c>
      <c r="B186" t="s">
        <v>639</v>
      </c>
      <c r="C186" t="s">
        <v>493</v>
      </c>
    </row>
    <row r="187" spans="1:3" x14ac:dyDescent="0.2">
      <c r="A187" t="s">
        <v>639</v>
      </c>
      <c r="B187" t="s">
        <v>672</v>
      </c>
      <c r="C187" t="s">
        <v>493</v>
      </c>
    </row>
    <row r="188" spans="1:3" x14ac:dyDescent="0.2">
      <c r="A188" t="s">
        <v>676</v>
      </c>
      <c r="B188" t="s">
        <v>677</v>
      </c>
      <c r="C188" t="s">
        <v>675</v>
      </c>
    </row>
    <row r="189" spans="1:3" x14ac:dyDescent="0.2">
      <c r="A189" t="s">
        <v>677</v>
      </c>
      <c r="B189" t="s">
        <v>678</v>
      </c>
      <c r="C189" t="s">
        <v>675</v>
      </c>
    </row>
    <row r="190" spans="1:3" x14ac:dyDescent="0.2">
      <c r="A190" t="s">
        <v>678</v>
      </c>
      <c r="B190" t="s">
        <v>679</v>
      </c>
      <c r="C190" t="s">
        <v>675</v>
      </c>
    </row>
    <row r="191" spans="1:3" x14ac:dyDescent="0.2">
      <c r="A191" t="s">
        <v>679</v>
      </c>
      <c r="B191" t="s">
        <v>680</v>
      </c>
      <c r="C191" t="s">
        <v>675</v>
      </c>
    </row>
    <row r="192" spans="1:3" x14ac:dyDescent="0.2">
      <c r="A192" t="s">
        <v>680</v>
      </c>
      <c r="B192" t="s">
        <v>681</v>
      </c>
      <c r="C192" t="s">
        <v>675</v>
      </c>
    </row>
    <row r="193" spans="1:3" x14ac:dyDescent="0.2">
      <c r="A193" t="s">
        <v>680</v>
      </c>
      <c r="B193" t="s">
        <v>682</v>
      </c>
      <c r="C193" t="s">
        <v>675</v>
      </c>
    </row>
    <row r="194" spans="1:3" x14ac:dyDescent="0.2">
      <c r="A194" t="s">
        <v>681</v>
      </c>
      <c r="B194" t="s">
        <v>683</v>
      </c>
      <c r="C194" t="s">
        <v>675</v>
      </c>
    </row>
    <row r="195" spans="1:3" x14ac:dyDescent="0.2">
      <c r="A195" t="s">
        <v>682</v>
      </c>
      <c r="B195" t="s">
        <v>683</v>
      </c>
      <c r="C195" t="s">
        <v>675</v>
      </c>
    </row>
    <row r="196" spans="1:3" x14ac:dyDescent="0.2">
      <c r="A196" t="s">
        <v>684</v>
      </c>
      <c r="B196" t="s">
        <v>685</v>
      </c>
      <c r="C196" t="s">
        <v>789</v>
      </c>
    </row>
    <row r="197" spans="1:3" x14ac:dyDescent="0.2">
      <c r="A197" t="s">
        <v>685</v>
      </c>
      <c r="B197" t="s">
        <v>686</v>
      </c>
      <c r="C197" t="s">
        <v>789</v>
      </c>
    </row>
    <row r="198" spans="1:3" x14ac:dyDescent="0.2">
      <c r="A198" t="s">
        <v>686</v>
      </c>
      <c r="B198" t="s">
        <v>687</v>
      </c>
      <c r="C198" t="s">
        <v>789</v>
      </c>
    </row>
    <row r="199" spans="1:3" x14ac:dyDescent="0.2">
      <c r="A199" t="s">
        <v>687</v>
      </c>
      <c r="B199" t="s">
        <v>688</v>
      </c>
      <c r="C199" t="s">
        <v>789</v>
      </c>
    </row>
    <row r="200" spans="1:3" x14ac:dyDescent="0.2">
      <c r="A200" t="s">
        <v>688</v>
      </c>
      <c r="B200" t="s">
        <v>689</v>
      </c>
      <c r="C200" t="s">
        <v>789</v>
      </c>
    </row>
    <row r="201" spans="1:3" x14ac:dyDescent="0.2">
      <c r="A201" t="s">
        <v>689</v>
      </c>
      <c r="B201" t="s">
        <v>690</v>
      </c>
      <c r="C201" t="s">
        <v>789</v>
      </c>
    </row>
    <row r="202" spans="1:3" x14ac:dyDescent="0.2">
      <c r="A202" t="s">
        <v>690</v>
      </c>
      <c r="B202" t="s">
        <v>691</v>
      </c>
      <c r="C202" t="s">
        <v>789</v>
      </c>
    </row>
    <row r="203" spans="1:3" x14ac:dyDescent="0.2">
      <c r="A203" t="s">
        <v>691</v>
      </c>
      <c r="B203" t="s">
        <v>692</v>
      </c>
      <c r="C203" t="s">
        <v>789</v>
      </c>
    </row>
    <row r="204" spans="1:3" x14ac:dyDescent="0.2">
      <c r="A204" t="s">
        <v>692</v>
      </c>
      <c r="B204" t="s">
        <v>693</v>
      </c>
      <c r="C204" t="s">
        <v>789</v>
      </c>
    </row>
    <row r="205" spans="1:3" x14ac:dyDescent="0.2">
      <c r="A205" t="s">
        <v>693</v>
      </c>
      <c r="B205" t="s">
        <v>694</v>
      </c>
      <c r="C205" t="s">
        <v>789</v>
      </c>
    </row>
    <row r="206" spans="1:3" x14ac:dyDescent="0.2">
      <c r="A206" t="s">
        <v>694</v>
      </c>
      <c r="B206" t="s">
        <v>695</v>
      </c>
      <c r="C206" t="s">
        <v>789</v>
      </c>
    </row>
    <row r="207" spans="1:3" x14ac:dyDescent="0.2">
      <c r="A207" t="s">
        <v>695</v>
      </c>
      <c r="B207" t="s">
        <v>696</v>
      </c>
      <c r="C207" t="s">
        <v>789</v>
      </c>
    </row>
    <row r="208" spans="1:3" x14ac:dyDescent="0.2">
      <c r="A208" t="s">
        <v>696</v>
      </c>
      <c r="B208" t="s">
        <v>697</v>
      </c>
      <c r="C208" t="s">
        <v>789</v>
      </c>
    </row>
    <row r="209" spans="1:3" x14ac:dyDescent="0.2">
      <c r="A209" t="s">
        <v>697</v>
      </c>
      <c r="B209" t="s">
        <v>698</v>
      </c>
      <c r="C209" t="s">
        <v>789</v>
      </c>
    </row>
    <row r="210" spans="1:3" x14ac:dyDescent="0.2">
      <c r="A210" t="s">
        <v>698</v>
      </c>
      <c r="B210" t="s">
        <v>699</v>
      </c>
      <c r="C210" t="s">
        <v>789</v>
      </c>
    </row>
    <row r="211" spans="1:3" x14ac:dyDescent="0.2">
      <c r="A211" t="s">
        <v>699</v>
      </c>
      <c r="B211" t="s">
        <v>700</v>
      </c>
      <c r="C211" t="s">
        <v>789</v>
      </c>
    </row>
    <row r="212" spans="1:3" x14ac:dyDescent="0.2">
      <c r="A212" t="s">
        <v>700</v>
      </c>
      <c r="B212" t="s">
        <v>701</v>
      </c>
      <c r="C212" t="s">
        <v>789</v>
      </c>
    </row>
    <row r="213" spans="1:3" x14ac:dyDescent="0.2">
      <c r="A213" t="s">
        <v>701</v>
      </c>
      <c r="B213" t="s">
        <v>702</v>
      </c>
      <c r="C213" t="s">
        <v>789</v>
      </c>
    </row>
    <row r="214" spans="1:3" x14ac:dyDescent="0.2">
      <c r="A214" t="s">
        <v>702</v>
      </c>
      <c r="B214" t="s">
        <v>703</v>
      </c>
      <c r="C214" t="s">
        <v>789</v>
      </c>
    </row>
    <row r="215" spans="1:3" x14ac:dyDescent="0.2">
      <c r="A215" t="s">
        <v>703</v>
      </c>
      <c r="B215" t="s">
        <v>704</v>
      </c>
      <c r="C215" t="s">
        <v>789</v>
      </c>
    </row>
    <row r="216" spans="1:3" x14ac:dyDescent="0.2">
      <c r="A216" t="s">
        <v>704</v>
      </c>
      <c r="B216" t="s">
        <v>705</v>
      </c>
      <c r="C216" t="s">
        <v>789</v>
      </c>
    </row>
    <row r="217" spans="1:3" x14ac:dyDescent="0.2">
      <c r="A217" t="s">
        <v>705</v>
      </c>
      <c r="B217" t="s">
        <v>706</v>
      </c>
      <c r="C217" t="s">
        <v>789</v>
      </c>
    </row>
    <row r="218" spans="1:3" x14ac:dyDescent="0.2">
      <c r="A218" t="s">
        <v>706</v>
      </c>
      <c r="B218" t="s">
        <v>707</v>
      </c>
      <c r="C218" t="s">
        <v>789</v>
      </c>
    </row>
    <row r="219" spans="1:3" x14ac:dyDescent="0.2">
      <c r="A219" t="s">
        <v>707</v>
      </c>
      <c r="B219" t="s">
        <v>708</v>
      </c>
      <c r="C219" t="s">
        <v>789</v>
      </c>
    </row>
    <row r="220" spans="1:3" x14ac:dyDescent="0.2">
      <c r="A220" t="s">
        <v>708</v>
      </c>
      <c r="B220" t="s">
        <v>709</v>
      </c>
      <c r="C220" t="s">
        <v>789</v>
      </c>
    </row>
    <row r="221" spans="1:3" x14ac:dyDescent="0.2">
      <c r="A221" t="s">
        <v>709</v>
      </c>
      <c r="B221" t="s">
        <v>710</v>
      </c>
      <c r="C221" t="s">
        <v>789</v>
      </c>
    </row>
    <row r="222" spans="1:3" x14ac:dyDescent="0.2">
      <c r="A222" t="s">
        <v>710</v>
      </c>
      <c r="B222" t="s">
        <v>711</v>
      </c>
      <c r="C222" t="s">
        <v>789</v>
      </c>
    </row>
    <row r="223" spans="1:3" x14ac:dyDescent="0.2">
      <c r="A223" t="s">
        <v>711</v>
      </c>
      <c r="B223" t="s">
        <v>712</v>
      </c>
      <c r="C223" t="s">
        <v>789</v>
      </c>
    </row>
    <row r="224" spans="1:3" x14ac:dyDescent="0.2">
      <c r="A224" t="s">
        <v>712</v>
      </c>
      <c r="B224" t="s">
        <v>713</v>
      </c>
      <c r="C224" t="s">
        <v>789</v>
      </c>
    </row>
    <row r="225" spans="1:3" x14ac:dyDescent="0.2">
      <c r="A225" t="s">
        <v>713</v>
      </c>
      <c r="B225" t="s">
        <v>714</v>
      </c>
      <c r="C225" t="s">
        <v>789</v>
      </c>
    </row>
    <row r="226" spans="1:3" x14ac:dyDescent="0.2">
      <c r="A226" t="s">
        <v>714</v>
      </c>
      <c r="B226" t="s">
        <v>715</v>
      </c>
      <c r="C226" t="s">
        <v>789</v>
      </c>
    </row>
    <row r="227" spans="1:3" x14ac:dyDescent="0.2">
      <c r="A227" t="s">
        <v>715</v>
      </c>
      <c r="B227" t="s">
        <v>716</v>
      </c>
      <c r="C227" t="s">
        <v>789</v>
      </c>
    </row>
    <row r="228" spans="1:3" x14ac:dyDescent="0.2">
      <c r="A228" t="s">
        <v>716</v>
      </c>
      <c r="B228" t="s">
        <v>717</v>
      </c>
      <c r="C228" t="s">
        <v>789</v>
      </c>
    </row>
    <row r="229" spans="1:3" x14ac:dyDescent="0.2">
      <c r="A229" t="s">
        <v>717</v>
      </c>
      <c r="B229" t="s">
        <v>718</v>
      </c>
      <c r="C229" t="s">
        <v>789</v>
      </c>
    </row>
    <row r="230" spans="1:3" x14ac:dyDescent="0.2">
      <c r="A230" t="s">
        <v>718</v>
      </c>
      <c r="B230" t="s">
        <v>719</v>
      </c>
      <c r="C230" t="s">
        <v>789</v>
      </c>
    </row>
    <row r="231" spans="1:3" x14ac:dyDescent="0.2">
      <c r="A231" t="s">
        <v>719</v>
      </c>
      <c r="B231" t="s">
        <v>720</v>
      </c>
      <c r="C231" t="s">
        <v>789</v>
      </c>
    </row>
    <row r="232" spans="1:3" x14ac:dyDescent="0.2">
      <c r="A232" t="s">
        <v>720</v>
      </c>
      <c r="B232" t="s">
        <v>721</v>
      </c>
      <c r="C232" t="s">
        <v>789</v>
      </c>
    </row>
    <row r="233" spans="1:3" x14ac:dyDescent="0.2">
      <c r="A233" t="s">
        <v>722</v>
      </c>
      <c r="B233" t="s">
        <v>723</v>
      </c>
      <c r="C233" t="s">
        <v>904</v>
      </c>
    </row>
    <row r="234" spans="1:3" x14ac:dyDescent="0.2">
      <c r="A234" t="s">
        <v>723</v>
      </c>
      <c r="B234" t="s">
        <v>724</v>
      </c>
      <c r="C234" t="s">
        <v>904</v>
      </c>
    </row>
    <row r="235" spans="1:3" x14ac:dyDescent="0.2">
      <c r="A235" t="s">
        <v>724</v>
      </c>
      <c r="B235" t="s">
        <v>725</v>
      </c>
      <c r="C235" t="s">
        <v>904</v>
      </c>
    </row>
    <row r="236" spans="1:3" x14ac:dyDescent="0.2">
      <c r="A236" t="s">
        <v>725</v>
      </c>
      <c r="B236" t="s">
        <v>726</v>
      </c>
      <c r="C236" t="s">
        <v>904</v>
      </c>
    </row>
    <row r="237" spans="1:3" x14ac:dyDescent="0.2">
      <c r="A237" t="s">
        <v>726</v>
      </c>
      <c r="B237" t="s">
        <v>727</v>
      </c>
      <c r="C237" t="s">
        <v>904</v>
      </c>
    </row>
    <row r="238" spans="1:3" x14ac:dyDescent="0.2">
      <c r="A238" t="s">
        <v>727</v>
      </c>
      <c r="B238" t="s">
        <v>728</v>
      </c>
      <c r="C238" t="s">
        <v>904</v>
      </c>
    </row>
    <row r="239" spans="1:3" x14ac:dyDescent="0.2">
      <c r="A239" t="s">
        <v>728</v>
      </c>
      <c r="B239" t="s">
        <v>729</v>
      </c>
      <c r="C239" t="s">
        <v>904</v>
      </c>
    </row>
    <row r="240" spans="1:3" x14ac:dyDescent="0.2">
      <c r="A240" t="s">
        <v>729</v>
      </c>
      <c r="B240" t="s">
        <v>730</v>
      </c>
      <c r="C240" t="s">
        <v>904</v>
      </c>
    </row>
    <row r="241" spans="1:3" x14ac:dyDescent="0.2">
      <c r="A241" t="s">
        <v>730</v>
      </c>
      <c r="B241" t="s">
        <v>731</v>
      </c>
      <c r="C241" t="s">
        <v>904</v>
      </c>
    </row>
    <row r="242" spans="1:3" x14ac:dyDescent="0.2">
      <c r="A242" t="s">
        <v>731</v>
      </c>
      <c r="B242" t="s">
        <v>732</v>
      </c>
      <c r="C242" t="s">
        <v>904</v>
      </c>
    </row>
    <row r="243" spans="1:3" x14ac:dyDescent="0.2">
      <c r="A243" t="s">
        <v>732</v>
      </c>
      <c r="B243" t="s">
        <v>733</v>
      </c>
      <c r="C243" t="s">
        <v>904</v>
      </c>
    </row>
    <row r="244" spans="1:3" x14ac:dyDescent="0.2">
      <c r="A244" t="s">
        <v>733</v>
      </c>
      <c r="B244" t="s">
        <v>734</v>
      </c>
      <c r="C244" t="s">
        <v>904</v>
      </c>
    </row>
    <row r="245" spans="1:3" x14ac:dyDescent="0.2">
      <c r="A245" t="s">
        <v>734</v>
      </c>
      <c r="B245" t="s">
        <v>735</v>
      </c>
      <c r="C245" t="s">
        <v>904</v>
      </c>
    </row>
    <row r="246" spans="1:3" x14ac:dyDescent="0.2">
      <c r="A246" t="s">
        <v>735</v>
      </c>
      <c r="B246" t="s">
        <v>736</v>
      </c>
      <c r="C246" t="s">
        <v>904</v>
      </c>
    </row>
    <row r="247" spans="1:3" x14ac:dyDescent="0.2">
      <c r="A247" t="s">
        <v>736</v>
      </c>
      <c r="B247" t="s">
        <v>737</v>
      </c>
      <c r="C247" t="s">
        <v>904</v>
      </c>
    </row>
    <row r="248" spans="1:3" x14ac:dyDescent="0.2">
      <c r="A248" t="s">
        <v>737</v>
      </c>
      <c r="B248" t="s">
        <v>738</v>
      </c>
      <c r="C248" t="s">
        <v>904</v>
      </c>
    </row>
    <row r="249" spans="1:3" x14ac:dyDescent="0.2">
      <c r="A249" t="s">
        <v>738</v>
      </c>
      <c r="B249" t="s">
        <v>739</v>
      </c>
      <c r="C249" t="s">
        <v>904</v>
      </c>
    </row>
    <row r="250" spans="1:3" x14ac:dyDescent="0.2">
      <c r="A250" t="s">
        <v>739</v>
      </c>
      <c r="B250" t="s">
        <v>740</v>
      </c>
      <c r="C250" t="s">
        <v>904</v>
      </c>
    </row>
    <row r="251" spans="1:3" x14ac:dyDescent="0.2">
      <c r="A251" t="s">
        <v>740</v>
      </c>
      <c r="B251" t="s">
        <v>741</v>
      </c>
      <c r="C251" t="s">
        <v>904</v>
      </c>
    </row>
    <row r="252" spans="1:3" x14ac:dyDescent="0.2">
      <c r="A252" t="s">
        <v>741</v>
      </c>
      <c r="B252" t="s">
        <v>742</v>
      </c>
      <c r="C252" t="s">
        <v>904</v>
      </c>
    </row>
    <row r="253" spans="1:3" x14ac:dyDescent="0.2">
      <c r="A253" t="s">
        <v>742</v>
      </c>
      <c r="B253" t="s">
        <v>743</v>
      </c>
      <c r="C253" t="s">
        <v>904</v>
      </c>
    </row>
    <row r="254" spans="1:3" x14ac:dyDescent="0.2">
      <c r="A254" t="s">
        <v>743</v>
      </c>
      <c r="B254" t="s">
        <v>744</v>
      </c>
      <c r="C254" t="s">
        <v>904</v>
      </c>
    </row>
    <row r="255" spans="1:3" x14ac:dyDescent="0.2">
      <c r="A255" t="s">
        <v>744</v>
      </c>
      <c r="B255" t="s">
        <v>745</v>
      </c>
      <c r="C255" t="s">
        <v>904</v>
      </c>
    </row>
    <row r="256" spans="1:3" x14ac:dyDescent="0.2">
      <c r="A256" t="s">
        <v>745</v>
      </c>
      <c r="B256" t="s">
        <v>746</v>
      </c>
      <c r="C256" t="s">
        <v>904</v>
      </c>
    </row>
    <row r="257" spans="1:3" x14ac:dyDescent="0.2">
      <c r="A257" t="s">
        <v>746</v>
      </c>
      <c r="B257" t="s">
        <v>747</v>
      </c>
      <c r="C257" t="s">
        <v>904</v>
      </c>
    </row>
    <row r="258" spans="1:3" x14ac:dyDescent="0.2">
      <c r="A258" t="s">
        <v>747</v>
      </c>
      <c r="B258" t="s">
        <v>748</v>
      </c>
      <c r="C258" t="s">
        <v>904</v>
      </c>
    </row>
    <row r="259" spans="1:3" x14ac:dyDescent="0.2">
      <c r="A259" t="s">
        <v>748</v>
      </c>
      <c r="B259" t="s">
        <v>749</v>
      </c>
      <c r="C259" t="s">
        <v>904</v>
      </c>
    </row>
    <row r="260" spans="1:3" x14ac:dyDescent="0.2">
      <c r="A260" t="s">
        <v>749</v>
      </c>
      <c r="B260" t="s">
        <v>750</v>
      </c>
      <c r="C260" t="s">
        <v>904</v>
      </c>
    </row>
    <row r="261" spans="1:3" x14ac:dyDescent="0.2">
      <c r="A261" t="s">
        <v>750</v>
      </c>
      <c r="B261" t="s">
        <v>751</v>
      </c>
      <c r="C261" t="s">
        <v>904</v>
      </c>
    </row>
    <row r="262" spans="1:3" x14ac:dyDescent="0.2">
      <c r="A262" t="s">
        <v>751</v>
      </c>
      <c r="B262" t="s">
        <v>752</v>
      </c>
      <c r="C262" t="s">
        <v>904</v>
      </c>
    </row>
    <row r="263" spans="1:3" x14ac:dyDescent="0.2">
      <c r="A263" t="s">
        <v>752</v>
      </c>
      <c r="B263" t="s">
        <v>753</v>
      </c>
      <c r="C263" t="s">
        <v>904</v>
      </c>
    </row>
    <row r="264" spans="1:3" x14ac:dyDescent="0.2">
      <c r="A264" t="s">
        <v>753</v>
      </c>
      <c r="B264" t="s">
        <v>754</v>
      </c>
      <c r="C264" t="s">
        <v>904</v>
      </c>
    </row>
    <row r="265" spans="1:3" x14ac:dyDescent="0.2">
      <c r="A265" t="s">
        <v>754</v>
      </c>
      <c r="B265" t="s">
        <v>755</v>
      </c>
      <c r="C265" t="s">
        <v>904</v>
      </c>
    </row>
    <row r="266" spans="1:3" x14ac:dyDescent="0.2">
      <c r="A266" t="s">
        <v>755</v>
      </c>
      <c r="B266" t="s">
        <v>756</v>
      </c>
      <c r="C266" t="s">
        <v>904</v>
      </c>
    </row>
    <row r="267" spans="1:3" x14ac:dyDescent="0.2">
      <c r="A267" t="s">
        <v>756</v>
      </c>
      <c r="B267" t="s">
        <v>757</v>
      </c>
      <c r="C267" t="s">
        <v>904</v>
      </c>
    </row>
    <row r="268" spans="1:3" x14ac:dyDescent="0.2">
      <c r="A268" t="s">
        <v>757</v>
      </c>
      <c r="B268" t="s">
        <v>758</v>
      </c>
      <c r="C268" t="s">
        <v>904</v>
      </c>
    </row>
    <row r="269" spans="1:3" x14ac:dyDescent="0.2">
      <c r="A269" t="s">
        <v>759</v>
      </c>
      <c r="B269" t="s">
        <v>760</v>
      </c>
      <c r="C269" t="s">
        <v>1050</v>
      </c>
    </row>
    <row r="270" spans="1:3" x14ac:dyDescent="0.2">
      <c r="A270" t="s">
        <v>760</v>
      </c>
      <c r="B270" t="s">
        <v>761</v>
      </c>
      <c r="C270" t="s">
        <v>1050</v>
      </c>
    </row>
    <row r="271" spans="1:3" x14ac:dyDescent="0.2">
      <c r="A271" t="s">
        <v>760</v>
      </c>
      <c r="B271" t="s">
        <v>764</v>
      </c>
      <c r="C271" t="s">
        <v>1050</v>
      </c>
    </row>
    <row r="272" spans="1:3" x14ac:dyDescent="0.2">
      <c r="A272" t="s">
        <v>761</v>
      </c>
      <c r="B272" t="s">
        <v>762</v>
      </c>
      <c r="C272" t="s">
        <v>1050</v>
      </c>
    </row>
    <row r="273" spans="1:3" x14ac:dyDescent="0.2">
      <c r="A273" t="s">
        <v>762</v>
      </c>
      <c r="B273" t="s">
        <v>763</v>
      </c>
      <c r="C273" t="s">
        <v>1050</v>
      </c>
    </row>
    <row r="274" spans="1:3" x14ac:dyDescent="0.2">
      <c r="A274" t="s">
        <v>763</v>
      </c>
      <c r="B274" t="s">
        <v>767</v>
      </c>
      <c r="C274" t="s">
        <v>1050</v>
      </c>
    </row>
    <row r="275" spans="1:3" x14ac:dyDescent="0.2">
      <c r="A275" t="s">
        <v>764</v>
      </c>
      <c r="B275" t="s">
        <v>765</v>
      </c>
      <c r="C275" t="s">
        <v>1050</v>
      </c>
    </row>
    <row r="276" spans="1:3" x14ac:dyDescent="0.2">
      <c r="A276" t="s">
        <v>765</v>
      </c>
      <c r="B276" t="s">
        <v>766</v>
      </c>
      <c r="C276" t="s">
        <v>1050</v>
      </c>
    </row>
    <row r="277" spans="1:3" x14ac:dyDescent="0.2">
      <c r="A277" t="s">
        <v>766</v>
      </c>
      <c r="B277" t="s">
        <v>767</v>
      </c>
      <c r="C277" t="s">
        <v>1050</v>
      </c>
    </row>
    <row r="278" spans="1:3" x14ac:dyDescent="0.2">
      <c r="A278" t="s">
        <v>767</v>
      </c>
      <c r="B278" t="s">
        <v>768</v>
      </c>
      <c r="C278" t="s">
        <v>1050</v>
      </c>
    </row>
    <row r="279" spans="1:3" x14ac:dyDescent="0.2">
      <c r="A279" t="s">
        <v>768</v>
      </c>
      <c r="B279" t="s">
        <v>1377</v>
      </c>
      <c r="C279" t="s">
        <v>1050</v>
      </c>
    </row>
    <row r="280" spans="1:3" x14ac:dyDescent="0.2">
      <c r="A280" t="s">
        <v>1377</v>
      </c>
      <c r="B280" t="s">
        <v>957</v>
      </c>
      <c r="C280" t="s">
        <v>1050</v>
      </c>
    </row>
    <row r="281" spans="1:3" x14ac:dyDescent="0.2">
      <c r="A281" t="s">
        <v>957</v>
      </c>
      <c r="B281" t="s">
        <v>958</v>
      </c>
      <c r="C281" t="s">
        <v>1050</v>
      </c>
    </row>
    <row r="282" spans="1:3" x14ac:dyDescent="0.2">
      <c r="A282" t="s">
        <v>958</v>
      </c>
      <c r="B282" t="s">
        <v>959</v>
      </c>
      <c r="C282" t="s">
        <v>1050</v>
      </c>
    </row>
    <row r="283" spans="1:3" x14ac:dyDescent="0.2">
      <c r="A283" t="s">
        <v>959</v>
      </c>
      <c r="B283" t="s">
        <v>960</v>
      </c>
      <c r="C283" t="s">
        <v>1050</v>
      </c>
    </row>
    <row r="284" spans="1:3" x14ac:dyDescent="0.2">
      <c r="A284" t="s">
        <v>960</v>
      </c>
      <c r="B284" t="s">
        <v>961</v>
      </c>
      <c r="C284" t="s">
        <v>1050</v>
      </c>
    </row>
    <row r="285" spans="1:3" x14ac:dyDescent="0.2">
      <c r="A285" t="s">
        <v>961</v>
      </c>
      <c r="B285" t="s">
        <v>962</v>
      </c>
      <c r="C285" t="s">
        <v>1050</v>
      </c>
    </row>
    <row r="286" spans="1:3" x14ac:dyDescent="0.2">
      <c r="A286" t="s">
        <v>962</v>
      </c>
      <c r="B286" t="s">
        <v>963</v>
      </c>
      <c r="C286" t="s">
        <v>1050</v>
      </c>
    </row>
    <row r="287" spans="1:3" x14ac:dyDescent="0.2">
      <c r="A287" t="s">
        <v>963</v>
      </c>
      <c r="B287" t="s">
        <v>964</v>
      </c>
      <c r="C287" t="s">
        <v>1050</v>
      </c>
    </row>
    <row r="288" spans="1:3" x14ac:dyDescent="0.2">
      <c r="A288" t="s">
        <v>964</v>
      </c>
      <c r="B288" t="s">
        <v>965</v>
      </c>
      <c r="C288" t="s">
        <v>1050</v>
      </c>
    </row>
    <row r="289" spans="1:3" x14ac:dyDescent="0.2">
      <c r="A289" t="s">
        <v>965</v>
      </c>
      <c r="B289" t="s">
        <v>966</v>
      </c>
      <c r="C289" t="s">
        <v>1050</v>
      </c>
    </row>
    <row r="290" spans="1:3" x14ac:dyDescent="0.2">
      <c r="A290" t="s">
        <v>966</v>
      </c>
      <c r="B290" t="s">
        <v>967</v>
      </c>
      <c r="C290" t="s">
        <v>1050</v>
      </c>
    </row>
    <row r="291" spans="1:3" x14ac:dyDescent="0.2">
      <c r="A291" t="s">
        <v>967</v>
      </c>
      <c r="B291" t="s">
        <v>968</v>
      </c>
      <c r="C291" t="s">
        <v>1050</v>
      </c>
    </row>
    <row r="292" spans="1:3" x14ac:dyDescent="0.2">
      <c r="A292" t="s">
        <v>969</v>
      </c>
      <c r="B292" t="s">
        <v>970</v>
      </c>
      <c r="C292" t="s">
        <v>1086</v>
      </c>
    </row>
    <row r="293" spans="1:3" x14ac:dyDescent="0.2">
      <c r="A293" t="s">
        <v>970</v>
      </c>
      <c r="B293" t="s">
        <v>971</v>
      </c>
      <c r="C293" t="s">
        <v>1086</v>
      </c>
    </row>
    <row r="294" spans="1:3" x14ac:dyDescent="0.2">
      <c r="A294" t="s">
        <v>971</v>
      </c>
      <c r="B294" t="s">
        <v>972</v>
      </c>
      <c r="C294" t="s">
        <v>1086</v>
      </c>
    </row>
    <row r="295" spans="1:3" x14ac:dyDescent="0.2">
      <c r="A295" t="s">
        <v>972</v>
      </c>
      <c r="B295" t="s">
        <v>973</v>
      </c>
      <c r="C295" t="s">
        <v>1086</v>
      </c>
    </row>
    <row r="296" spans="1:3" x14ac:dyDescent="0.2">
      <c r="A296" t="s">
        <v>973</v>
      </c>
      <c r="B296" t="s">
        <v>974</v>
      </c>
      <c r="C296" t="s">
        <v>1086</v>
      </c>
    </row>
    <row r="297" spans="1:3" x14ac:dyDescent="0.2">
      <c r="A297" t="s">
        <v>974</v>
      </c>
      <c r="B297" s="8" t="s">
        <v>975</v>
      </c>
      <c r="C297" t="s">
        <v>1086</v>
      </c>
    </row>
    <row r="298" spans="1:3" x14ac:dyDescent="0.2">
      <c r="A298" s="8" t="s">
        <v>975</v>
      </c>
      <c r="B298" t="s">
        <v>976</v>
      </c>
      <c r="C298" t="s">
        <v>1086</v>
      </c>
    </row>
    <row r="299" spans="1:3" x14ac:dyDescent="0.2">
      <c r="A299" t="s">
        <v>976</v>
      </c>
      <c r="B299" t="s">
        <v>977</v>
      </c>
      <c r="C299" t="s">
        <v>1086</v>
      </c>
    </row>
    <row r="300" spans="1:3" x14ac:dyDescent="0.2">
      <c r="A300" t="s">
        <v>977</v>
      </c>
      <c r="B300" t="s">
        <v>978</v>
      </c>
      <c r="C300" t="s">
        <v>1086</v>
      </c>
    </row>
    <row r="301" spans="1:3" x14ac:dyDescent="0.2">
      <c r="A301" t="s">
        <v>978</v>
      </c>
      <c r="B301" t="s">
        <v>979</v>
      </c>
      <c r="C301" t="s">
        <v>1086</v>
      </c>
    </row>
    <row r="302" spans="1:3" x14ac:dyDescent="0.2">
      <c r="A302" t="s">
        <v>979</v>
      </c>
      <c r="B302" t="s">
        <v>980</v>
      </c>
      <c r="C302" t="s">
        <v>1086</v>
      </c>
    </row>
    <row r="303" spans="1:3" x14ac:dyDescent="0.2">
      <c r="A303" t="s">
        <v>980</v>
      </c>
      <c r="B303" t="s">
        <v>981</v>
      </c>
      <c r="C303" t="s">
        <v>1086</v>
      </c>
    </row>
    <row r="304" spans="1:3" x14ac:dyDescent="0.2">
      <c r="A304" t="s">
        <v>982</v>
      </c>
      <c r="B304" t="s">
        <v>983</v>
      </c>
      <c r="C304" t="s">
        <v>1165</v>
      </c>
    </row>
    <row r="305" spans="1:3" x14ac:dyDescent="0.2">
      <c r="A305" t="s">
        <v>983</v>
      </c>
      <c r="B305" t="s">
        <v>984</v>
      </c>
      <c r="C305" t="s">
        <v>1165</v>
      </c>
    </row>
    <row r="306" spans="1:3" x14ac:dyDescent="0.2">
      <c r="A306" t="s">
        <v>984</v>
      </c>
      <c r="B306" t="s">
        <v>985</v>
      </c>
      <c r="C306" t="s">
        <v>1165</v>
      </c>
    </row>
    <row r="307" spans="1:3" x14ac:dyDescent="0.2">
      <c r="A307" t="s">
        <v>985</v>
      </c>
      <c r="B307" t="s">
        <v>986</v>
      </c>
      <c r="C307" t="s">
        <v>1165</v>
      </c>
    </row>
    <row r="308" spans="1:3" x14ac:dyDescent="0.2">
      <c r="A308" t="s">
        <v>986</v>
      </c>
      <c r="B308" t="s">
        <v>987</v>
      </c>
      <c r="C308" t="s">
        <v>1165</v>
      </c>
    </row>
    <row r="309" spans="1:3" x14ac:dyDescent="0.2">
      <c r="A309" t="s">
        <v>987</v>
      </c>
      <c r="B309" t="s">
        <v>988</v>
      </c>
      <c r="C309" t="s">
        <v>1165</v>
      </c>
    </row>
    <row r="310" spans="1:3" x14ac:dyDescent="0.2">
      <c r="A310" t="s">
        <v>988</v>
      </c>
      <c r="B310" t="s">
        <v>989</v>
      </c>
      <c r="C310" t="s">
        <v>1165</v>
      </c>
    </row>
    <row r="311" spans="1:3" x14ac:dyDescent="0.2">
      <c r="A311" t="s">
        <v>989</v>
      </c>
      <c r="B311" t="s">
        <v>990</v>
      </c>
      <c r="C311" t="s">
        <v>1165</v>
      </c>
    </row>
    <row r="312" spans="1:3" x14ac:dyDescent="0.2">
      <c r="A312" t="s">
        <v>990</v>
      </c>
      <c r="B312" t="s">
        <v>991</v>
      </c>
      <c r="C312" t="s">
        <v>1165</v>
      </c>
    </row>
    <row r="313" spans="1:3" x14ac:dyDescent="0.2">
      <c r="A313" t="s">
        <v>991</v>
      </c>
      <c r="B313" t="s">
        <v>992</v>
      </c>
      <c r="C313" t="s">
        <v>1165</v>
      </c>
    </row>
    <row r="314" spans="1:3" x14ac:dyDescent="0.2">
      <c r="A314" t="s">
        <v>992</v>
      </c>
      <c r="B314" t="s">
        <v>993</v>
      </c>
      <c r="C314" t="s">
        <v>1165</v>
      </c>
    </row>
    <row r="315" spans="1:3" x14ac:dyDescent="0.2">
      <c r="A315" t="s">
        <v>993</v>
      </c>
      <c r="B315" t="s">
        <v>994</v>
      </c>
      <c r="C315" t="s">
        <v>1165</v>
      </c>
    </row>
    <row r="316" spans="1:3" x14ac:dyDescent="0.2">
      <c r="A316" t="s">
        <v>994</v>
      </c>
      <c r="B316" t="s">
        <v>995</v>
      </c>
      <c r="C316" t="s">
        <v>1165</v>
      </c>
    </row>
    <row r="317" spans="1:3" x14ac:dyDescent="0.2">
      <c r="A317" t="s">
        <v>995</v>
      </c>
      <c r="B317" t="s">
        <v>996</v>
      </c>
      <c r="C317" t="s">
        <v>1165</v>
      </c>
    </row>
    <row r="318" spans="1:3" x14ac:dyDescent="0.2">
      <c r="A318" t="s">
        <v>996</v>
      </c>
      <c r="B318" t="s">
        <v>997</v>
      </c>
      <c r="C318" t="s">
        <v>1165</v>
      </c>
    </row>
    <row r="319" spans="1:3" x14ac:dyDescent="0.2">
      <c r="A319" t="s">
        <v>997</v>
      </c>
      <c r="B319" t="s">
        <v>998</v>
      </c>
      <c r="C319" t="s">
        <v>1165</v>
      </c>
    </row>
    <row r="320" spans="1:3" x14ac:dyDescent="0.2">
      <c r="A320" t="s">
        <v>998</v>
      </c>
      <c r="B320" t="s">
        <v>999</v>
      </c>
      <c r="C320" t="s">
        <v>1165</v>
      </c>
    </row>
    <row r="321" spans="1:3" x14ac:dyDescent="0.2">
      <c r="A321" t="s">
        <v>999</v>
      </c>
      <c r="B321" t="s">
        <v>1000</v>
      </c>
      <c r="C321" t="s">
        <v>1165</v>
      </c>
    </row>
    <row r="322" spans="1:3" x14ac:dyDescent="0.2">
      <c r="A322" t="s">
        <v>1000</v>
      </c>
      <c r="B322" t="s">
        <v>1001</v>
      </c>
      <c r="C322" t="s">
        <v>1165</v>
      </c>
    </row>
    <row r="323" spans="1:3" x14ac:dyDescent="0.2">
      <c r="A323" t="s">
        <v>1001</v>
      </c>
      <c r="B323" t="s">
        <v>1002</v>
      </c>
      <c r="C323" t="s">
        <v>1165</v>
      </c>
    </row>
    <row r="324" spans="1:3" x14ac:dyDescent="0.2">
      <c r="A324" t="s">
        <v>1002</v>
      </c>
      <c r="B324" t="s">
        <v>1003</v>
      </c>
      <c r="C324" t="s">
        <v>1165</v>
      </c>
    </row>
    <row r="325" spans="1:3" x14ac:dyDescent="0.2">
      <c r="A325" t="s">
        <v>1003</v>
      </c>
      <c r="B325" t="s">
        <v>1004</v>
      </c>
      <c r="C325" t="s">
        <v>1165</v>
      </c>
    </row>
    <row r="326" spans="1:3" x14ac:dyDescent="0.2">
      <c r="A326" t="s">
        <v>1004</v>
      </c>
      <c r="B326" t="s">
        <v>1005</v>
      </c>
      <c r="C326" t="s">
        <v>1165</v>
      </c>
    </row>
    <row r="327" spans="1:3" x14ac:dyDescent="0.2">
      <c r="A327" t="s">
        <v>1005</v>
      </c>
      <c r="B327" t="s">
        <v>1006</v>
      </c>
      <c r="C327" t="s">
        <v>1165</v>
      </c>
    </row>
    <row r="328" spans="1:3" x14ac:dyDescent="0.2">
      <c r="A328" t="s">
        <v>1006</v>
      </c>
      <c r="B328" t="s">
        <v>1007</v>
      </c>
      <c r="C328" t="s">
        <v>1165</v>
      </c>
    </row>
    <row r="329" spans="1:3" x14ac:dyDescent="0.2">
      <c r="A329" t="s">
        <v>1007</v>
      </c>
      <c r="B329" t="s">
        <v>1008</v>
      </c>
      <c r="C329" t="s">
        <v>1165</v>
      </c>
    </row>
    <row r="330" spans="1:3" x14ac:dyDescent="0.2">
      <c r="A330" t="s">
        <v>1008</v>
      </c>
      <c r="B330" t="s">
        <v>1009</v>
      </c>
      <c r="C330" t="s">
        <v>1165</v>
      </c>
    </row>
    <row r="331" spans="1:3" x14ac:dyDescent="0.2">
      <c r="A331" t="s">
        <v>1009</v>
      </c>
      <c r="B331" t="s">
        <v>1010</v>
      </c>
      <c r="C331" t="s">
        <v>1165</v>
      </c>
    </row>
    <row r="332" spans="1:3" x14ac:dyDescent="0.2">
      <c r="A332" t="s">
        <v>1011</v>
      </c>
      <c r="B332" t="s">
        <v>1012</v>
      </c>
      <c r="C332" t="s">
        <v>1237</v>
      </c>
    </row>
    <row r="333" spans="1:3" x14ac:dyDescent="0.2">
      <c r="A333" t="s">
        <v>1012</v>
      </c>
      <c r="B333" t="s">
        <v>1013</v>
      </c>
      <c r="C333" t="s">
        <v>1237</v>
      </c>
    </row>
    <row r="334" spans="1:3" x14ac:dyDescent="0.2">
      <c r="A334" t="s">
        <v>1013</v>
      </c>
      <c r="B334" t="s">
        <v>1014</v>
      </c>
      <c r="C334" t="s">
        <v>1237</v>
      </c>
    </row>
    <row r="335" spans="1:3" x14ac:dyDescent="0.2">
      <c r="A335" t="s">
        <v>1014</v>
      </c>
      <c r="B335" t="s">
        <v>1015</v>
      </c>
      <c r="C335" t="s">
        <v>1237</v>
      </c>
    </row>
    <row r="336" spans="1:3" x14ac:dyDescent="0.2">
      <c r="A336" t="s">
        <v>1015</v>
      </c>
      <c r="B336" t="s">
        <v>1016</v>
      </c>
      <c r="C336" t="s">
        <v>1237</v>
      </c>
    </row>
    <row r="337" spans="1:3" x14ac:dyDescent="0.2">
      <c r="A337" t="s">
        <v>1016</v>
      </c>
      <c r="B337" t="s">
        <v>1017</v>
      </c>
      <c r="C337" t="s">
        <v>1237</v>
      </c>
    </row>
    <row r="338" spans="1:3" x14ac:dyDescent="0.2">
      <c r="A338" t="s">
        <v>1017</v>
      </c>
      <c r="B338" t="s">
        <v>1018</v>
      </c>
      <c r="C338" t="s">
        <v>1237</v>
      </c>
    </row>
    <row r="339" spans="1:3" x14ac:dyDescent="0.2">
      <c r="A339" t="s">
        <v>1018</v>
      </c>
      <c r="B339" t="s">
        <v>1023</v>
      </c>
      <c r="C339" t="s">
        <v>1237</v>
      </c>
    </row>
    <row r="340" spans="1:3" x14ac:dyDescent="0.2">
      <c r="A340" t="s">
        <v>1361</v>
      </c>
      <c r="B340" t="s">
        <v>1362</v>
      </c>
      <c r="C340" t="s">
        <v>1237</v>
      </c>
    </row>
    <row r="341" spans="1:3" x14ac:dyDescent="0.2">
      <c r="A341" t="s">
        <v>1362</v>
      </c>
      <c r="B341" t="s">
        <v>1019</v>
      </c>
      <c r="C341" t="s">
        <v>1237</v>
      </c>
    </row>
    <row r="342" spans="1:3" x14ac:dyDescent="0.2">
      <c r="A342" t="s">
        <v>1019</v>
      </c>
      <c r="B342" t="s">
        <v>1020</v>
      </c>
      <c r="C342" t="s">
        <v>1237</v>
      </c>
    </row>
    <row r="343" spans="1:3" x14ac:dyDescent="0.2">
      <c r="A343" t="s">
        <v>1020</v>
      </c>
      <c r="B343" t="s">
        <v>1021</v>
      </c>
      <c r="C343" t="s">
        <v>1237</v>
      </c>
    </row>
    <row r="344" spans="1:3" x14ac:dyDescent="0.2">
      <c r="A344" t="s">
        <v>1021</v>
      </c>
      <c r="B344" t="s">
        <v>1022</v>
      </c>
      <c r="C344" t="s">
        <v>1237</v>
      </c>
    </row>
    <row r="345" spans="1:3" x14ac:dyDescent="0.2">
      <c r="A345" t="s">
        <v>1022</v>
      </c>
      <c r="B345" t="s">
        <v>1023</v>
      </c>
      <c r="C345" t="s">
        <v>1237</v>
      </c>
    </row>
    <row r="346" spans="1:3" x14ac:dyDescent="0.2">
      <c r="A346" t="s">
        <v>1023</v>
      </c>
      <c r="B346" t="s">
        <v>1023</v>
      </c>
      <c r="C346" t="s">
        <v>1237</v>
      </c>
    </row>
    <row r="347" spans="1:3" x14ac:dyDescent="0.2">
      <c r="A347" t="s">
        <v>1023</v>
      </c>
      <c r="B347" t="s">
        <v>1021</v>
      </c>
      <c r="C347" t="s">
        <v>1237</v>
      </c>
    </row>
    <row r="348" spans="1:3" x14ac:dyDescent="0.2">
      <c r="A348" t="s">
        <v>1024</v>
      </c>
      <c r="B348" t="s">
        <v>1023</v>
      </c>
      <c r="C348" t="s">
        <v>1237</v>
      </c>
    </row>
    <row r="349" spans="1:3" x14ac:dyDescent="0.2">
      <c r="A349" t="s">
        <v>1024</v>
      </c>
      <c r="B349" t="s">
        <v>1025</v>
      </c>
      <c r="C349" t="s">
        <v>1237</v>
      </c>
    </row>
    <row r="350" spans="1:3" x14ac:dyDescent="0.2">
      <c r="A350" t="s">
        <v>1025</v>
      </c>
      <c r="B350" t="s">
        <v>1026</v>
      </c>
      <c r="C350" t="s">
        <v>1237</v>
      </c>
    </row>
    <row r="351" spans="1:3" x14ac:dyDescent="0.2">
      <c r="A351" t="s">
        <v>1026</v>
      </c>
      <c r="B351" t="s">
        <v>1027</v>
      </c>
      <c r="C351" t="s">
        <v>1237</v>
      </c>
    </row>
    <row r="352" spans="1:3" x14ac:dyDescent="0.2">
      <c r="A352" t="s">
        <v>1027</v>
      </c>
      <c r="B352" t="s">
        <v>1028</v>
      </c>
      <c r="C352" t="s">
        <v>1237</v>
      </c>
    </row>
    <row r="353" spans="1:3" x14ac:dyDescent="0.2">
      <c r="A353" t="s">
        <v>1028</v>
      </c>
      <c r="B353" t="s">
        <v>1029</v>
      </c>
      <c r="C353" t="s">
        <v>1237</v>
      </c>
    </row>
    <row r="354" spans="1:3" x14ac:dyDescent="0.2">
      <c r="A354" t="s">
        <v>1029</v>
      </c>
      <c r="B354" t="s">
        <v>1030</v>
      </c>
      <c r="C354" t="s">
        <v>1237</v>
      </c>
    </row>
    <row r="355" spans="1:3" x14ac:dyDescent="0.2">
      <c r="A355" t="s">
        <v>1030</v>
      </c>
      <c r="B355" t="s">
        <v>1031</v>
      </c>
      <c r="C355" t="s">
        <v>1237</v>
      </c>
    </row>
    <row r="356" spans="1:3" x14ac:dyDescent="0.2">
      <c r="A356" t="s">
        <v>1031</v>
      </c>
      <c r="B356" t="s">
        <v>1032</v>
      </c>
      <c r="C356" t="s">
        <v>1237</v>
      </c>
    </row>
    <row r="357" spans="1:3" x14ac:dyDescent="0.2">
      <c r="A357" t="s">
        <v>1032</v>
      </c>
      <c r="B357" t="s">
        <v>1033</v>
      </c>
      <c r="C357" t="s">
        <v>1237</v>
      </c>
    </row>
    <row r="358" spans="1:3" x14ac:dyDescent="0.2">
      <c r="A358" t="s">
        <v>1033</v>
      </c>
      <c r="B358" t="s">
        <v>1034</v>
      </c>
      <c r="C358" t="s">
        <v>1237</v>
      </c>
    </row>
    <row r="359" spans="1:3" x14ac:dyDescent="0.2">
      <c r="A359" t="s">
        <v>1034</v>
      </c>
      <c r="B359" t="s">
        <v>1035</v>
      </c>
      <c r="C359" t="s">
        <v>1237</v>
      </c>
    </row>
    <row r="360" spans="1:3" x14ac:dyDescent="0.2">
      <c r="A360" t="s">
        <v>1035</v>
      </c>
      <c r="B360" t="s">
        <v>1036</v>
      </c>
      <c r="C360" t="s">
        <v>1237</v>
      </c>
    </row>
    <row r="361" spans="1:3" x14ac:dyDescent="0.2">
      <c r="A361" t="s">
        <v>1036</v>
      </c>
      <c r="B361" t="s">
        <v>1037</v>
      </c>
      <c r="C361" t="s">
        <v>1237</v>
      </c>
    </row>
    <row r="362" spans="1:3" x14ac:dyDescent="0.2">
      <c r="A362" t="s">
        <v>1037</v>
      </c>
      <c r="B362" t="s">
        <v>1038</v>
      </c>
      <c r="C362" t="s">
        <v>1237</v>
      </c>
    </row>
    <row r="363" spans="1:3" x14ac:dyDescent="0.2">
      <c r="A363" t="s">
        <v>1038</v>
      </c>
      <c r="B363" t="s">
        <v>1039</v>
      </c>
      <c r="C363" t="s">
        <v>1237</v>
      </c>
    </row>
    <row r="364" spans="1:3" x14ac:dyDescent="0.2">
      <c r="A364" t="s">
        <v>1039</v>
      </c>
      <c r="B364" t="s">
        <v>1040</v>
      </c>
      <c r="C364" t="s">
        <v>1237</v>
      </c>
    </row>
    <row r="365" spans="1:3" x14ac:dyDescent="0.2">
      <c r="A365" t="s">
        <v>1041</v>
      </c>
      <c r="B365" t="s">
        <v>1042</v>
      </c>
      <c r="C365" t="s">
        <v>1268</v>
      </c>
    </row>
    <row r="366" spans="1:3" x14ac:dyDescent="0.2">
      <c r="A366" t="s">
        <v>1042</v>
      </c>
      <c r="B366" t="s">
        <v>1043</v>
      </c>
      <c r="C366" t="s">
        <v>1268</v>
      </c>
    </row>
    <row r="367" spans="1:3" x14ac:dyDescent="0.2">
      <c r="A367" t="s">
        <v>1043</v>
      </c>
      <c r="B367" t="s">
        <v>1044</v>
      </c>
      <c r="C367" t="s">
        <v>1268</v>
      </c>
    </row>
    <row r="368" spans="1:3" x14ac:dyDescent="0.2">
      <c r="A368" t="s">
        <v>1044</v>
      </c>
      <c r="B368" t="s">
        <v>1045</v>
      </c>
      <c r="C368" t="s">
        <v>1268</v>
      </c>
    </row>
    <row r="369" spans="1:3" x14ac:dyDescent="0.2">
      <c r="A369" t="s">
        <v>1045</v>
      </c>
      <c r="B369" t="s">
        <v>1046</v>
      </c>
      <c r="C369" t="s">
        <v>1268</v>
      </c>
    </row>
    <row r="370" spans="1:3" x14ac:dyDescent="0.2">
      <c r="A370" t="s">
        <v>1046</v>
      </c>
      <c r="B370" t="s">
        <v>1047</v>
      </c>
      <c r="C370" t="s">
        <v>1268</v>
      </c>
    </row>
    <row r="371" spans="1:3" x14ac:dyDescent="0.2">
      <c r="A371" t="s">
        <v>1047</v>
      </c>
      <c r="B371" t="s">
        <v>1048</v>
      </c>
      <c r="C371" t="s">
        <v>1268</v>
      </c>
    </row>
    <row r="372" spans="1:3" x14ac:dyDescent="0.2">
      <c r="A372" t="s">
        <v>1048</v>
      </c>
      <c r="B372" t="s">
        <v>1049</v>
      </c>
      <c r="C372" t="s">
        <v>1268</v>
      </c>
    </row>
    <row r="373" spans="1:3" x14ac:dyDescent="0.2">
      <c r="A373" t="s">
        <v>1558</v>
      </c>
      <c r="B373" t="s">
        <v>1559</v>
      </c>
      <c r="C373" t="s">
        <v>1525</v>
      </c>
    </row>
    <row r="374" spans="1:3" x14ac:dyDescent="0.2">
      <c r="A374" t="s">
        <v>1559</v>
      </c>
      <c r="B374" t="s">
        <v>1560</v>
      </c>
      <c r="C374" t="s">
        <v>1525</v>
      </c>
    </row>
    <row r="375" spans="1:3" x14ac:dyDescent="0.2">
      <c r="A375" t="s">
        <v>1560</v>
      </c>
      <c r="B375" t="s">
        <v>1561</v>
      </c>
      <c r="C375" t="s">
        <v>1525</v>
      </c>
    </row>
    <row r="376" spans="1:3" x14ac:dyDescent="0.2">
      <c r="A376" t="s">
        <v>1561</v>
      </c>
      <c r="B376" t="s">
        <v>1562</v>
      </c>
      <c r="C376" t="s">
        <v>1525</v>
      </c>
    </row>
    <row r="377" spans="1:3" x14ac:dyDescent="0.2">
      <c r="A377" t="s">
        <v>1562</v>
      </c>
      <c r="B377" t="s">
        <v>1563</v>
      </c>
      <c r="C377" t="s">
        <v>1525</v>
      </c>
    </row>
    <row r="378" spans="1:3" x14ac:dyDescent="0.2">
      <c r="A378" t="s">
        <v>1563</v>
      </c>
      <c r="B378" t="s">
        <v>1564</v>
      </c>
      <c r="C378" t="s">
        <v>1525</v>
      </c>
    </row>
    <row r="379" spans="1:3" x14ac:dyDescent="0.2">
      <c r="A379" t="s">
        <v>1564</v>
      </c>
      <c r="B379" t="s">
        <v>1565</v>
      </c>
      <c r="C379" t="s">
        <v>1525</v>
      </c>
    </row>
    <row r="380" spans="1:3" x14ac:dyDescent="0.2">
      <c r="A380" t="s">
        <v>1565</v>
      </c>
      <c r="B380" t="s">
        <v>1566</v>
      </c>
      <c r="C380" t="s">
        <v>1525</v>
      </c>
    </row>
    <row r="381" spans="1:3" x14ac:dyDescent="0.2">
      <c r="A381" t="s">
        <v>1566</v>
      </c>
      <c r="B381" t="s">
        <v>1567</v>
      </c>
      <c r="C381" t="s">
        <v>1525</v>
      </c>
    </row>
    <row r="382" spans="1:3" x14ac:dyDescent="0.2">
      <c r="A382" t="s">
        <v>1567</v>
      </c>
      <c r="B382" t="s">
        <v>1568</v>
      </c>
      <c r="C382" t="s">
        <v>1525</v>
      </c>
    </row>
    <row r="383" spans="1:3" x14ac:dyDescent="0.2">
      <c r="A383" t="s">
        <v>1568</v>
      </c>
      <c r="B383" t="s">
        <v>1569</v>
      </c>
      <c r="C383" t="s">
        <v>1525</v>
      </c>
    </row>
    <row r="384" spans="1:3" x14ac:dyDescent="0.2">
      <c r="A384" t="s">
        <v>1569</v>
      </c>
      <c r="B384" t="s">
        <v>1570</v>
      </c>
      <c r="C384" t="s">
        <v>1525</v>
      </c>
    </row>
    <row r="385" spans="1:3" x14ac:dyDescent="0.2">
      <c r="A385" t="s">
        <v>1570</v>
      </c>
      <c r="B385" t="s">
        <v>1571</v>
      </c>
      <c r="C385" t="s">
        <v>1525</v>
      </c>
    </row>
    <row r="386" spans="1:3" x14ac:dyDescent="0.2">
      <c r="A386" t="s">
        <v>1571</v>
      </c>
      <c r="B386" t="s">
        <v>1572</v>
      </c>
      <c r="C386" t="s">
        <v>1525</v>
      </c>
    </row>
    <row r="387" spans="1:3" x14ac:dyDescent="0.2">
      <c r="A387" t="s">
        <v>1572</v>
      </c>
      <c r="B387" t="s">
        <v>1573</v>
      </c>
      <c r="C387" t="s">
        <v>1525</v>
      </c>
    </row>
    <row r="388" spans="1:3" x14ac:dyDescent="0.2">
      <c r="A388" t="s">
        <v>1573</v>
      </c>
      <c r="B388" t="s">
        <v>1574</v>
      </c>
      <c r="C388" t="s">
        <v>1525</v>
      </c>
    </row>
    <row r="389" spans="1:3" x14ac:dyDescent="0.2">
      <c r="A389" t="s">
        <v>1574</v>
      </c>
      <c r="B389" t="s">
        <v>1575</v>
      </c>
      <c r="C389" t="s">
        <v>1525</v>
      </c>
    </row>
    <row r="390" spans="1:3" x14ac:dyDescent="0.2">
      <c r="A390" t="s">
        <v>1575</v>
      </c>
      <c r="B390" t="s">
        <v>1576</v>
      </c>
      <c r="C390" t="s">
        <v>1525</v>
      </c>
    </row>
    <row r="391" spans="1:3" x14ac:dyDescent="0.2">
      <c r="A391" t="s">
        <v>1576</v>
      </c>
      <c r="B391" t="s">
        <v>1577</v>
      </c>
      <c r="C391" t="s">
        <v>1525</v>
      </c>
    </row>
    <row r="392" spans="1:3" x14ac:dyDescent="0.2">
      <c r="A392" t="s">
        <v>1577</v>
      </c>
      <c r="B392" t="s">
        <v>1578</v>
      </c>
      <c r="C392" t="s">
        <v>1525</v>
      </c>
    </row>
    <row r="393" spans="1:3" x14ac:dyDescent="0.2">
      <c r="A393" t="s">
        <v>1578</v>
      </c>
      <c r="B393" t="s">
        <v>1579</v>
      </c>
      <c r="C393" t="s">
        <v>1525</v>
      </c>
    </row>
    <row r="394" spans="1:3" x14ac:dyDescent="0.2">
      <c r="A394" t="s">
        <v>1579</v>
      </c>
      <c r="B394" t="s">
        <v>1580</v>
      </c>
      <c r="C394" t="s">
        <v>1525</v>
      </c>
    </row>
    <row r="395" spans="1:3" x14ac:dyDescent="0.2">
      <c r="A395" t="s">
        <v>1580</v>
      </c>
      <c r="B395" t="s">
        <v>1581</v>
      </c>
      <c r="C395" t="s">
        <v>1525</v>
      </c>
    </row>
    <row r="396" spans="1:3" x14ac:dyDescent="0.2">
      <c r="A396" t="s">
        <v>1581</v>
      </c>
      <c r="B396" t="s">
        <v>1582</v>
      </c>
      <c r="C396" t="s">
        <v>1525</v>
      </c>
    </row>
    <row r="397" spans="1:3" x14ac:dyDescent="0.2">
      <c r="A397" t="s">
        <v>1582</v>
      </c>
      <c r="B397" t="s">
        <v>1583</v>
      </c>
      <c r="C397" t="s">
        <v>1525</v>
      </c>
    </row>
    <row r="398" spans="1:3" x14ac:dyDescent="0.2">
      <c r="A398" t="s">
        <v>1583</v>
      </c>
      <c r="B398" t="s">
        <v>1584</v>
      </c>
      <c r="C398" t="s">
        <v>1525</v>
      </c>
    </row>
    <row r="399" spans="1:3" x14ac:dyDescent="0.2">
      <c r="A399" t="s">
        <v>1584</v>
      </c>
      <c r="B399" t="s">
        <v>1585</v>
      </c>
      <c r="C399" t="s">
        <v>1525</v>
      </c>
    </row>
    <row r="400" spans="1:3" x14ac:dyDescent="0.2">
      <c r="A400" t="s">
        <v>1585</v>
      </c>
      <c r="B400" t="s">
        <v>1586</v>
      </c>
      <c r="C400" t="s">
        <v>1525</v>
      </c>
    </row>
    <row r="401" spans="1:3" x14ac:dyDescent="0.2">
      <c r="A401" t="s">
        <v>1586</v>
      </c>
      <c r="B401" t="s">
        <v>1587</v>
      </c>
      <c r="C401" t="s">
        <v>1525</v>
      </c>
    </row>
    <row r="402" spans="1:3" x14ac:dyDescent="0.2">
      <c r="A402" t="s">
        <v>1587</v>
      </c>
      <c r="B402" t="s">
        <v>1588</v>
      </c>
      <c r="C402" t="s">
        <v>1525</v>
      </c>
    </row>
    <row r="403" spans="1:3" x14ac:dyDescent="0.2">
      <c r="A403" t="s">
        <v>1588</v>
      </c>
      <c r="B403" t="s">
        <v>1589</v>
      </c>
      <c r="C403" t="s">
        <v>1525</v>
      </c>
    </row>
    <row r="404" spans="1:3" x14ac:dyDescent="0.2">
      <c r="A404" t="s">
        <v>1589</v>
      </c>
      <c r="B404" t="s">
        <v>1590</v>
      </c>
      <c r="C404" t="s">
        <v>1525</v>
      </c>
    </row>
    <row r="405" spans="1:3" x14ac:dyDescent="0.2">
      <c r="A405" t="s">
        <v>1590</v>
      </c>
      <c r="B405" t="s">
        <v>1591</v>
      </c>
      <c r="C405" t="s">
        <v>1525</v>
      </c>
    </row>
    <row r="406" spans="1:3" x14ac:dyDescent="0.2">
      <c r="A406" t="s">
        <v>1591</v>
      </c>
      <c r="B406" t="s">
        <v>1592</v>
      </c>
      <c r="C406" t="s">
        <v>1525</v>
      </c>
    </row>
    <row r="407" spans="1:3" x14ac:dyDescent="0.2">
      <c r="A407" t="s">
        <v>1592</v>
      </c>
      <c r="B407" t="s">
        <v>1593</v>
      </c>
      <c r="C407" t="s">
        <v>1525</v>
      </c>
    </row>
    <row r="408" spans="1:3" x14ac:dyDescent="0.2">
      <c r="A408" t="s">
        <v>1652</v>
      </c>
      <c r="B408" t="s">
        <v>1653</v>
      </c>
      <c r="C408" t="s">
        <v>1650</v>
      </c>
    </row>
    <row r="409" spans="1:3" x14ac:dyDescent="0.2">
      <c r="A409" t="s">
        <v>1653</v>
      </c>
      <c r="B409" t="s">
        <v>1655</v>
      </c>
      <c r="C409" t="s">
        <v>1650</v>
      </c>
    </row>
    <row r="410" spans="1:3" x14ac:dyDescent="0.2">
      <c r="A410" t="s">
        <v>1655</v>
      </c>
      <c r="B410" t="s">
        <v>1657</v>
      </c>
      <c r="C410" t="s">
        <v>1650</v>
      </c>
    </row>
    <row r="411" spans="1:3" x14ac:dyDescent="0.2">
      <c r="A411" t="s">
        <v>1657</v>
      </c>
      <c r="B411" t="s">
        <v>1659</v>
      </c>
      <c r="C411" t="s">
        <v>1650</v>
      </c>
    </row>
    <row r="412" spans="1:3" x14ac:dyDescent="0.2">
      <c r="A412" t="s">
        <v>1659</v>
      </c>
      <c r="B412" t="s">
        <v>1661</v>
      </c>
      <c r="C412" t="s">
        <v>1650</v>
      </c>
    </row>
    <row r="413" spans="1:3" x14ac:dyDescent="0.2">
      <c r="A413" t="s">
        <v>1661</v>
      </c>
      <c r="B413" t="s">
        <v>1663</v>
      </c>
      <c r="C413" t="s">
        <v>1650</v>
      </c>
    </row>
    <row r="414" spans="1:3" x14ac:dyDescent="0.2">
      <c r="A414" t="s">
        <v>1663</v>
      </c>
      <c r="B414" t="s">
        <v>1665</v>
      </c>
      <c r="C414" t="s">
        <v>1650</v>
      </c>
    </row>
    <row r="415" spans="1:3" x14ac:dyDescent="0.2">
      <c r="A415" t="s">
        <v>1665</v>
      </c>
      <c r="B415" t="s">
        <v>1667</v>
      </c>
      <c r="C415" t="s">
        <v>1650</v>
      </c>
    </row>
    <row r="416" spans="1:3" x14ac:dyDescent="0.2">
      <c r="A416" t="s">
        <v>1667</v>
      </c>
      <c r="B416" t="s">
        <v>1669</v>
      </c>
      <c r="C416" t="s">
        <v>1650</v>
      </c>
    </row>
    <row r="417" spans="1:3" x14ac:dyDescent="0.2">
      <c r="A417" t="s">
        <v>1669</v>
      </c>
      <c r="B417" t="s">
        <v>1671</v>
      </c>
      <c r="C417" t="s">
        <v>1650</v>
      </c>
    </row>
    <row r="418" spans="1:3" x14ac:dyDescent="0.2">
      <c r="A418" t="s">
        <v>1671</v>
      </c>
      <c r="B418" t="s">
        <v>1673</v>
      </c>
      <c r="C418" t="s">
        <v>1650</v>
      </c>
    </row>
    <row r="419" spans="1:3" x14ac:dyDescent="0.2">
      <c r="A419" t="s">
        <v>1673</v>
      </c>
      <c r="B419" t="s">
        <v>1675</v>
      </c>
      <c r="C419" t="s">
        <v>1650</v>
      </c>
    </row>
    <row r="420" spans="1:3" x14ac:dyDescent="0.2">
      <c r="A420" t="s">
        <v>1675</v>
      </c>
      <c r="B420" t="s">
        <v>1677</v>
      </c>
      <c r="C420" t="s">
        <v>1650</v>
      </c>
    </row>
    <row r="421" spans="1:3" x14ac:dyDescent="0.2">
      <c r="A421" t="s">
        <v>1677</v>
      </c>
      <c r="B421" t="s">
        <v>1679</v>
      </c>
      <c r="C421" t="s">
        <v>1650</v>
      </c>
    </row>
    <row r="422" spans="1:3" x14ac:dyDescent="0.2">
      <c r="A422" t="s">
        <v>1679</v>
      </c>
      <c r="B422" t="s">
        <v>1681</v>
      </c>
      <c r="C422" t="s">
        <v>1650</v>
      </c>
    </row>
    <row r="423" spans="1:3" x14ac:dyDescent="0.2">
      <c r="A423" t="s">
        <v>1681</v>
      </c>
      <c r="B423" t="s">
        <v>1683</v>
      </c>
      <c r="C423" t="s">
        <v>1650</v>
      </c>
    </row>
    <row r="424" spans="1:3" x14ac:dyDescent="0.2">
      <c r="A424" t="s">
        <v>1683</v>
      </c>
      <c r="B424" t="s">
        <v>1685</v>
      </c>
      <c r="C424" t="s">
        <v>1650</v>
      </c>
    </row>
    <row r="425" spans="1:3" x14ac:dyDescent="0.2">
      <c r="A425" t="s">
        <v>1685</v>
      </c>
      <c r="B425" t="s">
        <v>1687</v>
      </c>
      <c r="C425" t="s">
        <v>1650</v>
      </c>
    </row>
    <row r="426" spans="1:3" x14ac:dyDescent="0.2">
      <c r="A426" t="s">
        <v>1687</v>
      </c>
      <c r="B426" t="s">
        <v>1689</v>
      </c>
      <c r="C426" t="s">
        <v>1650</v>
      </c>
    </row>
    <row r="427" spans="1:3" x14ac:dyDescent="0.2">
      <c r="A427" t="s">
        <v>1689</v>
      </c>
      <c r="B427" t="s">
        <v>1691</v>
      </c>
      <c r="C427" t="s">
        <v>1650</v>
      </c>
    </row>
    <row r="428" spans="1:3" x14ac:dyDescent="0.2">
      <c r="A428" t="s">
        <v>1691</v>
      </c>
      <c r="B428" t="s">
        <v>1693</v>
      </c>
      <c r="C428" t="s">
        <v>1650</v>
      </c>
    </row>
    <row r="429" spans="1:3" x14ac:dyDescent="0.2">
      <c r="A429" t="s">
        <v>1693</v>
      </c>
      <c r="B429" t="s">
        <v>1695</v>
      </c>
      <c r="C429" t="s">
        <v>1650</v>
      </c>
    </row>
    <row r="430" spans="1:3" x14ac:dyDescent="0.2">
      <c r="A430" t="s">
        <v>1695</v>
      </c>
      <c r="B430" t="s">
        <v>1697</v>
      </c>
      <c r="C430" t="s">
        <v>1650</v>
      </c>
    </row>
    <row r="431" spans="1:3" x14ac:dyDescent="0.2">
      <c r="A431" t="s">
        <v>1713</v>
      </c>
      <c r="B431" t="s">
        <v>1714</v>
      </c>
      <c r="C431" t="s">
        <v>1712</v>
      </c>
    </row>
    <row r="432" spans="1:3" x14ac:dyDescent="0.2">
      <c r="A432" t="s">
        <v>1714</v>
      </c>
      <c r="B432" t="s">
        <v>1716</v>
      </c>
      <c r="C432" t="s">
        <v>1712</v>
      </c>
    </row>
    <row r="433" spans="1:3" x14ac:dyDescent="0.2">
      <c r="A433" t="s">
        <v>1716</v>
      </c>
      <c r="B433" t="s">
        <v>1718</v>
      </c>
      <c r="C433" t="s">
        <v>1712</v>
      </c>
    </row>
    <row r="434" spans="1:3" x14ac:dyDescent="0.2">
      <c r="A434" t="s">
        <v>1718</v>
      </c>
      <c r="B434" t="s">
        <v>1720</v>
      </c>
      <c r="C434" t="s">
        <v>1712</v>
      </c>
    </row>
    <row r="435" spans="1:3" x14ac:dyDescent="0.2">
      <c r="A435" t="s">
        <v>1720</v>
      </c>
      <c r="B435" t="s">
        <v>1722</v>
      </c>
      <c r="C435" t="s">
        <v>1712</v>
      </c>
    </row>
    <row r="436" spans="1:3" x14ac:dyDescent="0.2">
      <c r="A436" t="s">
        <v>1722</v>
      </c>
      <c r="B436" t="s">
        <v>1724</v>
      </c>
      <c r="C436" t="s">
        <v>1712</v>
      </c>
    </row>
    <row r="437" spans="1:3" x14ac:dyDescent="0.2">
      <c r="A437" t="s">
        <v>1724</v>
      </c>
      <c r="B437" t="s">
        <v>1726</v>
      </c>
      <c r="C437" t="s">
        <v>1712</v>
      </c>
    </row>
    <row r="438" spans="1:3" x14ac:dyDescent="0.2">
      <c r="A438" t="s">
        <v>1726</v>
      </c>
      <c r="B438" t="s">
        <v>1728</v>
      </c>
      <c r="C438" t="s">
        <v>1712</v>
      </c>
    </row>
    <row r="439" spans="1:3" x14ac:dyDescent="0.2">
      <c r="A439" t="s">
        <v>1728</v>
      </c>
      <c r="B439" t="s">
        <v>1730</v>
      </c>
      <c r="C439" t="s">
        <v>1712</v>
      </c>
    </row>
    <row r="440" spans="1:3" x14ac:dyDescent="0.2">
      <c r="A440" t="s">
        <v>1730</v>
      </c>
      <c r="B440" t="s">
        <v>1732</v>
      </c>
      <c r="C440" t="s">
        <v>1712</v>
      </c>
    </row>
    <row r="441" spans="1:3" x14ac:dyDescent="0.2">
      <c r="A441" t="s">
        <v>1732</v>
      </c>
      <c r="B441" t="s">
        <v>1734</v>
      </c>
      <c r="C441" t="s">
        <v>1712</v>
      </c>
    </row>
    <row r="442" spans="1:3" x14ac:dyDescent="0.2">
      <c r="A442" t="s">
        <v>1734</v>
      </c>
      <c r="B442" t="s">
        <v>1736</v>
      </c>
      <c r="C442" t="s">
        <v>1712</v>
      </c>
    </row>
    <row r="443" spans="1:3" x14ac:dyDescent="0.2">
      <c r="A443" t="s">
        <v>1736</v>
      </c>
      <c r="B443" t="s">
        <v>1738</v>
      </c>
      <c r="C443" t="s">
        <v>1712</v>
      </c>
    </row>
    <row r="444" spans="1:3" x14ac:dyDescent="0.2">
      <c r="A444" t="s">
        <v>1738</v>
      </c>
      <c r="B444" t="s">
        <v>1740</v>
      </c>
      <c r="C444" t="s">
        <v>1712</v>
      </c>
    </row>
    <row r="445" spans="1:3" x14ac:dyDescent="0.2">
      <c r="A445" t="s">
        <v>1740</v>
      </c>
      <c r="B445" t="s">
        <v>1742</v>
      </c>
      <c r="C445" t="s">
        <v>1712</v>
      </c>
    </row>
    <row r="446" spans="1:3" x14ac:dyDescent="0.2">
      <c r="A446" t="s">
        <v>1742</v>
      </c>
      <c r="B446" t="s">
        <v>1744</v>
      </c>
      <c r="C446" t="s">
        <v>1712</v>
      </c>
    </row>
    <row r="447" spans="1:3" x14ac:dyDescent="0.2">
      <c r="A447" t="s">
        <v>1744</v>
      </c>
      <c r="B447" t="s">
        <v>1746</v>
      </c>
      <c r="C447" t="s">
        <v>1712</v>
      </c>
    </row>
    <row r="448" spans="1:3" x14ac:dyDescent="0.2">
      <c r="A448" t="s">
        <v>1746</v>
      </c>
      <c r="B448" t="s">
        <v>1748</v>
      </c>
      <c r="C448" t="s">
        <v>1712</v>
      </c>
    </row>
    <row r="449" spans="1:3" x14ac:dyDescent="0.2">
      <c r="A449" t="s">
        <v>1748</v>
      </c>
      <c r="B449" t="s">
        <v>1750</v>
      </c>
      <c r="C449" t="s">
        <v>1712</v>
      </c>
    </row>
    <row r="450" spans="1:3" x14ac:dyDescent="0.2">
      <c r="A450" t="s">
        <v>1750</v>
      </c>
      <c r="B450" t="s">
        <v>1752</v>
      </c>
      <c r="C450" t="s">
        <v>1712</v>
      </c>
    </row>
    <row r="451" spans="1:3" x14ac:dyDescent="0.2">
      <c r="A451" t="s">
        <v>1752</v>
      </c>
      <c r="B451" t="s">
        <v>1754</v>
      </c>
      <c r="C451" t="s">
        <v>1712</v>
      </c>
    </row>
    <row r="452" spans="1:3" x14ac:dyDescent="0.2">
      <c r="A452" t="s">
        <v>1754</v>
      </c>
      <c r="B452" t="s">
        <v>1756</v>
      </c>
      <c r="C452" t="s">
        <v>1712</v>
      </c>
    </row>
    <row r="453" spans="1:3" x14ac:dyDescent="0.2">
      <c r="A453" t="s">
        <v>1756</v>
      </c>
      <c r="B453" t="s">
        <v>1758</v>
      </c>
      <c r="C453" t="s">
        <v>1712</v>
      </c>
    </row>
    <row r="454" spans="1:3" x14ac:dyDescent="0.2">
      <c r="A454" t="s">
        <v>1758</v>
      </c>
      <c r="B454" t="s">
        <v>1760</v>
      </c>
      <c r="C454" t="s">
        <v>1712</v>
      </c>
    </row>
    <row r="455" spans="1:3" x14ac:dyDescent="0.2">
      <c r="A455" t="s">
        <v>1778</v>
      </c>
      <c r="B455" t="s">
        <v>1779</v>
      </c>
      <c r="C455" t="s">
        <v>1761</v>
      </c>
    </row>
    <row r="456" spans="1:3" x14ac:dyDescent="0.2">
      <c r="A456" t="s">
        <v>1779</v>
      </c>
      <c r="B456" t="s">
        <v>1781</v>
      </c>
      <c r="C456" t="s">
        <v>1761</v>
      </c>
    </row>
    <row r="457" spans="1:3" x14ac:dyDescent="0.2">
      <c r="A457" t="s">
        <v>1781</v>
      </c>
      <c r="B457" t="s">
        <v>1783</v>
      </c>
      <c r="C457" t="s">
        <v>1761</v>
      </c>
    </row>
    <row r="458" spans="1:3" x14ac:dyDescent="0.2">
      <c r="A458" t="s">
        <v>1783</v>
      </c>
      <c r="B458" t="s">
        <v>1785</v>
      </c>
      <c r="C458" t="s">
        <v>1761</v>
      </c>
    </row>
    <row r="459" spans="1:3" x14ac:dyDescent="0.2">
      <c r="A459" t="s">
        <v>1785</v>
      </c>
      <c r="B459" t="s">
        <v>1787</v>
      </c>
      <c r="C459" t="s">
        <v>1761</v>
      </c>
    </row>
    <row r="460" spans="1:3" x14ac:dyDescent="0.2">
      <c r="A460" t="s">
        <v>1787</v>
      </c>
      <c r="B460" t="s">
        <v>1789</v>
      </c>
      <c r="C460" t="s">
        <v>1761</v>
      </c>
    </row>
    <row r="461" spans="1:3" x14ac:dyDescent="0.2">
      <c r="A461" t="s">
        <v>1789</v>
      </c>
      <c r="B461" t="s">
        <v>1791</v>
      </c>
      <c r="C461" t="s">
        <v>1761</v>
      </c>
    </row>
    <row r="462" spans="1:3" x14ac:dyDescent="0.2">
      <c r="A462" t="s">
        <v>1791</v>
      </c>
      <c r="B462" t="s">
        <v>1793</v>
      </c>
      <c r="C462" t="s">
        <v>1761</v>
      </c>
    </row>
    <row r="463" spans="1:3" x14ac:dyDescent="0.2">
      <c r="A463" t="s">
        <v>1793</v>
      </c>
      <c r="B463" t="s">
        <v>1795</v>
      </c>
      <c r="C463" t="s">
        <v>1761</v>
      </c>
    </row>
    <row r="464" spans="1:3" x14ac:dyDescent="0.2">
      <c r="A464" t="s">
        <v>1795</v>
      </c>
      <c r="B464" t="s">
        <v>1797</v>
      </c>
      <c r="C464" t="s">
        <v>1761</v>
      </c>
    </row>
    <row r="465" spans="1:3" x14ac:dyDescent="0.2">
      <c r="A465" t="s">
        <v>1797</v>
      </c>
      <c r="B465" t="s">
        <v>1799</v>
      </c>
      <c r="C465" t="s">
        <v>1761</v>
      </c>
    </row>
    <row r="466" spans="1:3" x14ac:dyDescent="0.2">
      <c r="A466" t="s">
        <v>1799</v>
      </c>
      <c r="B466" t="s">
        <v>1801</v>
      </c>
      <c r="C466" t="s">
        <v>1761</v>
      </c>
    </row>
    <row r="467" spans="1:3" x14ac:dyDescent="0.2">
      <c r="A467" t="s">
        <v>1801</v>
      </c>
      <c r="B467" t="s">
        <v>1803</v>
      </c>
      <c r="C467" t="s">
        <v>1761</v>
      </c>
    </row>
    <row r="468" spans="1:3" x14ac:dyDescent="0.2">
      <c r="A468" t="s">
        <v>1803</v>
      </c>
      <c r="B468" t="s">
        <v>1805</v>
      </c>
      <c r="C468" t="s">
        <v>1761</v>
      </c>
    </row>
    <row r="469" spans="1:3" x14ac:dyDescent="0.2">
      <c r="A469" t="s">
        <v>1805</v>
      </c>
      <c r="B469" t="s">
        <v>1807</v>
      </c>
      <c r="C469" t="s">
        <v>1761</v>
      </c>
    </row>
    <row r="470" spans="1:3" x14ac:dyDescent="0.2">
      <c r="A470" t="s">
        <v>1807</v>
      </c>
      <c r="B470" t="s">
        <v>1809</v>
      </c>
      <c r="C470" t="s">
        <v>1761</v>
      </c>
    </row>
    <row r="471" spans="1:3" x14ac:dyDescent="0.2">
      <c r="A471" t="s">
        <v>1809</v>
      </c>
      <c r="B471" t="s">
        <v>1811</v>
      </c>
      <c r="C471" t="s">
        <v>1761</v>
      </c>
    </row>
    <row r="472" spans="1:3" x14ac:dyDescent="0.2">
      <c r="A472" t="s">
        <v>1811</v>
      </c>
      <c r="B472" t="s">
        <v>1813</v>
      </c>
      <c r="C472" t="s">
        <v>1761</v>
      </c>
    </row>
    <row r="473" spans="1:3" x14ac:dyDescent="0.2">
      <c r="A473" t="s">
        <v>1813</v>
      </c>
      <c r="B473" t="s">
        <v>1815</v>
      </c>
      <c r="C473" t="s">
        <v>1761</v>
      </c>
    </row>
    <row r="474" spans="1:3" x14ac:dyDescent="0.2">
      <c r="A474" t="s">
        <v>1815</v>
      </c>
      <c r="B474" t="s">
        <v>1817</v>
      </c>
      <c r="C474" t="s">
        <v>1761</v>
      </c>
    </row>
    <row r="475" spans="1:3" x14ac:dyDescent="0.2">
      <c r="A475" t="s">
        <v>1817</v>
      </c>
      <c r="B475" t="s">
        <v>1819</v>
      </c>
      <c r="C475" t="s">
        <v>1761</v>
      </c>
    </row>
    <row r="476" spans="1:3" x14ac:dyDescent="0.2">
      <c r="A476" t="s">
        <v>1819</v>
      </c>
      <c r="B476" t="s">
        <v>1821</v>
      </c>
      <c r="C476" t="s">
        <v>1761</v>
      </c>
    </row>
    <row r="477" spans="1:3" x14ac:dyDescent="0.2">
      <c r="A477" t="s">
        <v>1821</v>
      </c>
      <c r="B477" t="s">
        <v>1823</v>
      </c>
      <c r="C477" t="s">
        <v>1761</v>
      </c>
    </row>
    <row r="478" spans="1:3" x14ac:dyDescent="0.2">
      <c r="A478" t="s">
        <v>1823</v>
      </c>
      <c r="B478" t="s">
        <v>1825</v>
      </c>
      <c r="C478" t="s">
        <v>1761</v>
      </c>
    </row>
    <row r="479" spans="1:3" x14ac:dyDescent="0.2">
      <c r="A479" t="s">
        <v>1825</v>
      </c>
      <c r="B479" t="s">
        <v>1827</v>
      </c>
      <c r="C479" t="s">
        <v>1761</v>
      </c>
    </row>
    <row r="480" spans="1:3" x14ac:dyDescent="0.2">
      <c r="A480" t="s">
        <v>2035</v>
      </c>
      <c r="B480" t="s">
        <v>2036</v>
      </c>
      <c r="C480" t="s">
        <v>1942</v>
      </c>
    </row>
    <row r="481" spans="1:3" x14ac:dyDescent="0.2">
      <c r="A481" t="s">
        <v>2036</v>
      </c>
      <c r="B481" t="s">
        <v>2038</v>
      </c>
      <c r="C481" t="s">
        <v>1942</v>
      </c>
    </row>
    <row r="482" spans="1:3" x14ac:dyDescent="0.2">
      <c r="A482" t="s">
        <v>2038</v>
      </c>
      <c r="B482" t="s">
        <v>2040</v>
      </c>
      <c r="C482" t="s">
        <v>1942</v>
      </c>
    </row>
    <row r="483" spans="1:3" x14ac:dyDescent="0.2">
      <c r="A483" t="s">
        <v>2040</v>
      </c>
      <c r="B483" t="s">
        <v>2042</v>
      </c>
      <c r="C483" t="s">
        <v>1942</v>
      </c>
    </row>
    <row r="484" spans="1:3" x14ac:dyDescent="0.2">
      <c r="A484" t="s">
        <v>2042</v>
      </c>
      <c r="B484" t="s">
        <v>2044</v>
      </c>
      <c r="C484" t="s">
        <v>1942</v>
      </c>
    </row>
    <row r="485" spans="1:3" x14ac:dyDescent="0.2">
      <c r="A485" t="s">
        <v>2044</v>
      </c>
      <c r="B485" t="s">
        <v>2046</v>
      </c>
      <c r="C485" t="s">
        <v>1942</v>
      </c>
    </row>
    <row r="486" spans="1:3" x14ac:dyDescent="0.2">
      <c r="A486" t="s">
        <v>2046</v>
      </c>
      <c r="B486" t="s">
        <v>2048</v>
      </c>
      <c r="C486" t="s">
        <v>1942</v>
      </c>
    </row>
    <row r="487" spans="1:3" x14ac:dyDescent="0.2">
      <c r="A487" t="s">
        <v>2048</v>
      </c>
      <c r="B487" t="s">
        <v>2050</v>
      </c>
      <c r="C487" t="s">
        <v>1942</v>
      </c>
    </row>
    <row r="488" spans="1:3" x14ac:dyDescent="0.2">
      <c r="A488" t="s">
        <v>2050</v>
      </c>
      <c r="B488" t="s">
        <v>2052</v>
      </c>
      <c r="C488" t="s">
        <v>1942</v>
      </c>
    </row>
    <row r="489" spans="1:3" x14ac:dyDescent="0.2">
      <c r="A489" t="s">
        <v>2052</v>
      </c>
      <c r="B489" t="s">
        <v>2054</v>
      </c>
      <c r="C489" t="s">
        <v>1942</v>
      </c>
    </row>
    <row r="490" spans="1:3" x14ac:dyDescent="0.2">
      <c r="A490" t="s">
        <v>2055</v>
      </c>
      <c r="B490" t="s">
        <v>2056</v>
      </c>
      <c r="C490" t="s">
        <v>1943</v>
      </c>
    </row>
    <row r="491" spans="1:3" x14ac:dyDescent="0.2">
      <c r="A491" t="s">
        <v>2056</v>
      </c>
      <c r="B491" t="s">
        <v>2058</v>
      </c>
      <c r="C491" t="s">
        <v>1943</v>
      </c>
    </row>
    <row r="492" spans="1:3" x14ac:dyDescent="0.2">
      <c r="A492" t="s">
        <v>2058</v>
      </c>
      <c r="B492" s="8" t="s">
        <v>2060</v>
      </c>
      <c r="C492" t="s">
        <v>1943</v>
      </c>
    </row>
    <row r="493" spans="1:3" x14ac:dyDescent="0.2">
      <c r="A493" s="8" t="s">
        <v>2060</v>
      </c>
      <c r="B493" t="s">
        <v>2062</v>
      </c>
      <c r="C493" t="s">
        <v>1943</v>
      </c>
    </row>
    <row r="494" spans="1:3" x14ac:dyDescent="0.2">
      <c r="A494" t="s">
        <v>2062</v>
      </c>
      <c r="B494" t="s">
        <v>2064</v>
      </c>
      <c r="C494" t="s">
        <v>1943</v>
      </c>
    </row>
    <row r="495" spans="1:3" x14ac:dyDescent="0.2">
      <c r="A495" t="s">
        <v>2064</v>
      </c>
      <c r="B495" t="s">
        <v>2066</v>
      </c>
      <c r="C495" t="s">
        <v>1943</v>
      </c>
    </row>
    <row r="496" spans="1:3" x14ac:dyDescent="0.2">
      <c r="A496" t="s">
        <v>2066</v>
      </c>
      <c r="B496" t="s">
        <v>2068</v>
      </c>
      <c r="C496" t="s">
        <v>1943</v>
      </c>
    </row>
    <row r="497" spans="1:3" x14ac:dyDescent="0.2">
      <c r="A497" t="s">
        <v>2068</v>
      </c>
      <c r="B497" t="s">
        <v>2070</v>
      </c>
      <c r="C497" t="s">
        <v>1943</v>
      </c>
    </row>
    <row r="498" spans="1:3" x14ac:dyDescent="0.2">
      <c r="A498" t="s">
        <v>2070</v>
      </c>
      <c r="B498" t="s">
        <v>2072</v>
      </c>
      <c r="C498" t="s">
        <v>1943</v>
      </c>
    </row>
    <row r="499" spans="1:3" x14ac:dyDescent="0.2">
      <c r="A499" t="s">
        <v>2072</v>
      </c>
      <c r="B499" t="s">
        <v>2074</v>
      </c>
      <c r="C499" t="s">
        <v>1943</v>
      </c>
    </row>
    <row r="500" spans="1:3" x14ac:dyDescent="0.2">
      <c r="A500" t="s">
        <v>2074</v>
      </c>
      <c r="B500" t="s">
        <v>2076</v>
      </c>
      <c r="C500" t="s">
        <v>1943</v>
      </c>
    </row>
    <row r="501" spans="1:3" x14ac:dyDescent="0.2">
      <c r="A501" t="s">
        <v>2076</v>
      </c>
      <c r="B501" t="s">
        <v>2078</v>
      </c>
      <c r="C501" t="s">
        <v>1943</v>
      </c>
    </row>
    <row r="502" spans="1:3" x14ac:dyDescent="0.2">
      <c r="A502" t="s">
        <v>2078</v>
      </c>
      <c r="B502" t="s">
        <v>2080</v>
      </c>
      <c r="C502" t="s">
        <v>1943</v>
      </c>
    </row>
    <row r="503" spans="1:3" x14ac:dyDescent="0.2">
      <c r="A503" t="s">
        <v>2080</v>
      </c>
      <c r="B503" t="s">
        <v>2082</v>
      </c>
      <c r="C503" t="s">
        <v>1943</v>
      </c>
    </row>
    <row r="504" spans="1:3" x14ac:dyDescent="0.2">
      <c r="A504" t="s">
        <v>2082</v>
      </c>
      <c r="B504" t="s">
        <v>2084</v>
      </c>
      <c r="C504" t="s">
        <v>1943</v>
      </c>
    </row>
    <row r="505" spans="1:3" x14ac:dyDescent="0.2">
      <c r="A505" t="s">
        <v>2085</v>
      </c>
      <c r="B505" t="s">
        <v>2086</v>
      </c>
      <c r="C505" t="s">
        <v>1944</v>
      </c>
    </row>
    <row r="506" spans="1:3" x14ac:dyDescent="0.2">
      <c r="A506" t="s">
        <v>2086</v>
      </c>
      <c r="B506" t="s">
        <v>2088</v>
      </c>
      <c r="C506" t="s">
        <v>1944</v>
      </c>
    </row>
    <row r="507" spans="1:3" x14ac:dyDescent="0.2">
      <c r="A507" t="s">
        <v>2088</v>
      </c>
      <c r="B507" t="s">
        <v>2090</v>
      </c>
      <c r="C507" t="s">
        <v>1944</v>
      </c>
    </row>
    <row r="508" spans="1:3" x14ac:dyDescent="0.2">
      <c r="A508" t="s">
        <v>2090</v>
      </c>
      <c r="B508" t="s">
        <v>2092</v>
      </c>
      <c r="C508" t="s">
        <v>1944</v>
      </c>
    </row>
    <row r="509" spans="1:3" x14ac:dyDescent="0.2">
      <c r="A509" t="s">
        <v>2092</v>
      </c>
      <c r="B509" t="s">
        <v>2094</v>
      </c>
      <c r="C509" t="s">
        <v>1944</v>
      </c>
    </row>
    <row r="510" spans="1:3" x14ac:dyDescent="0.2">
      <c r="A510" t="s">
        <v>2094</v>
      </c>
      <c r="B510" t="s">
        <v>2096</v>
      </c>
      <c r="C510" t="s">
        <v>1944</v>
      </c>
    </row>
    <row r="511" spans="1:3" x14ac:dyDescent="0.2">
      <c r="A511" t="s">
        <v>2096</v>
      </c>
      <c r="B511" t="s">
        <v>2098</v>
      </c>
      <c r="C511" t="s">
        <v>1944</v>
      </c>
    </row>
    <row r="512" spans="1:3" x14ac:dyDescent="0.2">
      <c r="A512" t="s">
        <v>2098</v>
      </c>
      <c r="B512" t="s">
        <v>2100</v>
      </c>
      <c r="C512" t="s">
        <v>1944</v>
      </c>
    </row>
    <row r="513" spans="1:3" x14ac:dyDescent="0.2">
      <c r="A513" t="s">
        <v>2100</v>
      </c>
      <c r="B513" t="s">
        <v>2102</v>
      </c>
      <c r="C513" t="s">
        <v>1944</v>
      </c>
    </row>
    <row r="514" spans="1:3" x14ac:dyDescent="0.2">
      <c r="A514" t="s">
        <v>2102</v>
      </c>
      <c r="B514" t="s">
        <v>2104</v>
      </c>
      <c r="C514" t="s">
        <v>1944</v>
      </c>
    </row>
    <row r="515" spans="1:3" x14ac:dyDescent="0.2">
      <c r="A515" t="s">
        <v>2104</v>
      </c>
      <c r="B515" t="s">
        <v>2106</v>
      </c>
      <c r="C515" t="s">
        <v>1944</v>
      </c>
    </row>
    <row r="516" spans="1:3" x14ac:dyDescent="0.2">
      <c r="A516" t="s">
        <v>2106</v>
      </c>
      <c r="B516" t="s">
        <v>2108</v>
      </c>
      <c r="C516" t="s">
        <v>1944</v>
      </c>
    </row>
    <row r="517" spans="1:3" x14ac:dyDescent="0.2">
      <c r="A517" t="s">
        <v>2108</v>
      </c>
      <c r="B517" t="s">
        <v>2110</v>
      </c>
      <c r="C517" t="s">
        <v>1944</v>
      </c>
    </row>
    <row r="518" spans="1:3" x14ac:dyDescent="0.2">
      <c r="A518" t="s">
        <v>2110</v>
      </c>
      <c r="B518" t="s">
        <v>2112</v>
      </c>
      <c r="C518" t="s">
        <v>1944</v>
      </c>
    </row>
    <row r="519" spans="1:3" x14ac:dyDescent="0.2">
      <c r="A519" t="s">
        <v>2112</v>
      </c>
      <c r="B519" s="8" t="s">
        <v>2114</v>
      </c>
      <c r="C519" t="s">
        <v>1944</v>
      </c>
    </row>
    <row r="520" spans="1:3" x14ac:dyDescent="0.2">
      <c r="A520" s="8" t="s">
        <v>2114</v>
      </c>
      <c r="B520" t="s">
        <v>2116</v>
      </c>
      <c r="C520" t="s">
        <v>1944</v>
      </c>
    </row>
    <row r="521" spans="1:3" x14ac:dyDescent="0.2">
      <c r="A521" t="s">
        <v>2116</v>
      </c>
      <c r="B521" t="s">
        <v>2118</v>
      </c>
      <c r="C521" t="s">
        <v>1944</v>
      </c>
    </row>
    <row r="522" spans="1:3" x14ac:dyDescent="0.2">
      <c r="A522" t="s">
        <v>2118</v>
      </c>
      <c r="B522" t="s">
        <v>2120</v>
      </c>
      <c r="C522" t="s">
        <v>1944</v>
      </c>
    </row>
    <row r="523" spans="1:3" x14ac:dyDescent="0.2">
      <c r="A523" t="s">
        <v>2120</v>
      </c>
      <c r="B523" t="s">
        <v>2122</v>
      </c>
      <c r="C523" t="s">
        <v>1944</v>
      </c>
    </row>
    <row r="524" spans="1:3" x14ac:dyDescent="0.2">
      <c r="A524" t="s">
        <v>2122</v>
      </c>
      <c r="B524" t="s">
        <v>2124</v>
      </c>
      <c r="C524" t="s">
        <v>1944</v>
      </c>
    </row>
    <row r="525" spans="1:3" x14ac:dyDescent="0.2">
      <c r="A525" t="s">
        <v>2125</v>
      </c>
      <c r="B525" t="s">
        <v>2126</v>
      </c>
      <c r="C525" t="s">
        <v>1945</v>
      </c>
    </row>
    <row r="526" spans="1:3" x14ac:dyDescent="0.2">
      <c r="A526" t="s">
        <v>2126</v>
      </c>
      <c r="B526" t="s">
        <v>2128</v>
      </c>
      <c r="C526" t="s">
        <v>1945</v>
      </c>
    </row>
    <row r="527" spans="1:3" x14ac:dyDescent="0.2">
      <c r="A527" t="s">
        <v>2128</v>
      </c>
      <c r="B527" t="s">
        <v>2130</v>
      </c>
      <c r="C527" t="s">
        <v>1945</v>
      </c>
    </row>
    <row r="528" spans="1:3" x14ac:dyDescent="0.2">
      <c r="A528" t="s">
        <v>2130</v>
      </c>
      <c r="B528" t="s">
        <v>2132</v>
      </c>
      <c r="C528" t="s">
        <v>1945</v>
      </c>
    </row>
    <row r="529" spans="1:3" x14ac:dyDescent="0.2">
      <c r="A529" t="s">
        <v>2132</v>
      </c>
      <c r="B529" t="s">
        <v>2134</v>
      </c>
      <c r="C529" t="s">
        <v>1945</v>
      </c>
    </row>
    <row r="530" spans="1:3" x14ac:dyDescent="0.2">
      <c r="A530" t="s">
        <v>2134</v>
      </c>
      <c r="B530" t="s">
        <v>2136</v>
      </c>
      <c r="C530" t="s">
        <v>1945</v>
      </c>
    </row>
    <row r="531" spans="1:3" x14ac:dyDescent="0.2">
      <c r="A531" t="s">
        <v>2136</v>
      </c>
      <c r="B531" t="s">
        <v>2138</v>
      </c>
      <c r="C531" t="s">
        <v>1945</v>
      </c>
    </row>
    <row r="532" spans="1:3" x14ac:dyDescent="0.2">
      <c r="A532" t="s">
        <v>2138</v>
      </c>
      <c r="B532" t="s">
        <v>2140</v>
      </c>
      <c r="C532" t="s">
        <v>1945</v>
      </c>
    </row>
    <row r="533" spans="1:3" x14ac:dyDescent="0.2">
      <c r="A533" t="s">
        <v>2140</v>
      </c>
      <c r="B533" t="s">
        <v>2142</v>
      </c>
      <c r="C533" t="s">
        <v>1945</v>
      </c>
    </row>
    <row r="534" spans="1:3" x14ac:dyDescent="0.2">
      <c r="A534" t="s">
        <v>2142</v>
      </c>
      <c r="B534" t="s">
        <v>2144</v>
      </c>
      <c r="C534" t="s">
        <v>1945</v>
      </c>
    </row>
    <row r="535" spans="1:3" x14ac:dyDescent="0.2">
      <c r="A535" t="s">
        <v>2144</v>
      </c>
      <c r="B535" t="s">
        <v>2146</v>
      </c>
      <c r="C535" t="s">
        <v>1945</v>
      </c>
    </row>
    <row r="536" spans="1:3" x14ac:dyDescent="0.2">
      <c r="A536" t="s">
        <v>2146</v>
      </c>
      <c r="B536" t="s">
        <v>2148</v>
      </c>
      <c r="C536" t="s">
        <v>1945</v>
      </c>
    </row>
    <row r="537" spans="1:3" x14ac:dyDescent="0.2">
      <c r="A537" t="s">
        <v>2148</v>
      </c>
      <c r="B537" t="s">
        <v>2150</v>
      </c>
      <c r="C537" t="s">
        <v>1945</v>
      </c>
    </row>
    <row r="538" spans="1:3" x14ac:dyDescent="0.2">
      <c r="A538" t="s">
        <v>2150</v>
      </c>
      <c r="B538" t="s">
        <v>2152</v>
      </c>
      <c r="C538" t="s">
        <v>1945</v>
      </c>
    </row>
    <row r="539" spans="1:3" x14ac:dyDescent="0.2">
      <c r="A539" t="s">
        <v>2152</v>
      </c>
      <c r="B539" t="s">
        <v>2154</v>
      </c>
      <c r="C539" t="s">
        <v>1945</v>
      </c>
    </row>
    <row r="540" spans="1:3" x14ac:dyDescent="0.2">
      <c r="A540" t="s">
        <v>2154</v>
      </c>
      <c r="B540" t="s">
        <v>2156</v>
      </c>
      <c r="C540" t="s">
        <v>1945</v>
      </c>
    </row>
    <row r="541" spans="1:3" x14ac:dyDescent="0.2">
      <c r="A541" t="s">
        <v>2156</v>
      </c>
      <c r="B541" t="s">
        <v>2158</v>
      </c>
      <c r="C541" t="s">
        <v>1945</v>
      </c>
    </row>
    <row r="542" spans="1:3" x14ac:dyDescent="0.2">
      <c r="A542" t="s">
        <v>2159</v>
      </c>
      <c r="B542" t="s">
        <v>2160</v>
      </c>
      <c r="C542" t="s">
        <v>1947</v>
      </c>
    </row>
    <row r="543" spans="1:3" x14ac:dyDescent="0.2">
      <c r="A543" t="s">
        <v>2160</v>
      </c>
      <c r="B543" t="s">
        <v>2162</v>
      </c>
      <c r="C543" t="s">
        <v>1947</v>
      </c>
    </row>
    <row r="544" spans="1:3" x14ac:dyDescent="0.2">
      <c r="A544" t="s">
        <v>2162</v>
      </c>
      <c r="B544" t="s">
        <v>2164</v>
      </c>
      <c r="C544" t="s">
        <v>1947</v>
      </c>
    </row>
    <row r="545" spans="1:3" x14ac:dyDescent="0.2">
      <c r="A545" t="s">
        <v>2164</v>
      </c>
      <c r="B545" t="s">
        <v>2166</v>
      </c>
      <c r="C545" t="s">
        <v>1947</v>
      </c>
    </row>
    <row r="546" spans="1:3" x14ac:dyDescent="0.2">
      <c r="A546" t="s">
        <v>2166</v>
      </c>
      <c r="B546" t="s">
        <v>2168</v>
      </c>
      <c r="C546" t="s">
        <v>1947</v>
      </c>
    </row>
    <row r="547" spans="1:3" x14ac:dyDescent="0.2">
      <c r="A547" t="s">
        <v>2168</v>
      </c>
      <c r="B547" t="s">
        <v>2170</v>
      </c>
      <c r="C547" t="s">
        <v>1947</v>
      </c>
    </row>
    <row r="548" spans="1:3" x14ac:dyDescent="0.2">
      <c r="A548" t="s">
        <v>2170</v>
      </c>
      <c r="B548" t="s">
        <v>2172</v>
      </c>
      <c r="C548" t="s">
        <v>1947</v>
      </c>
    </row>
    <row r="549" spans="1:3" x14ac:dyDescent="0.2">
      <c r="A549" t="s">
        <v>2172</v>
      </c>
      <c r="B549" t="s">
        <v>2174</v>
      </c>
      <c r="C549" t="s">
        <v>1947</v>
      </c>
    </row>
    <row r="550" spans="1:3" x14ac:dyDescent="0.2">
      <c r="A550" t="s">
        <v>2174</v>
      </c>
      <c r="B550" t="s">
        <v>2181</v>
      </c>
      <c r="C550" t="s">
        <v>1947</v>
      </c>
    </row>
    <row r="551" spans="1:3" x14ac:dyDescent="0.2">
      <c r="A551" t="s">
        <v>2176</v>
      </c>
      <c r="B551" t="s">
        <v>2177</v>
      </c>
      <c r="C551" t="s">
        <v>1947</v>
      </c>
    </row>
    <row r="552" spans="1:3" x14ac:dyDescent="0.2">
      <c r="A552" t="s">
        <v>2177</v>
      </c>
      <c r="B552" t="s">
        <v>2179</v>
      </c>
      <c r="C552" t="s">
        <v>1947</v>
      </c>
    </row>
    <row r="553" spans="1:3" x14ac:dyDescent="0.2">
      <c r="A553" t="s">
        <v>2179</v>
      </c>
      <c r="B553" t="s">
        <v>2181</v>
      </c>
      <c r="C553" t="s">
        <v>1947</v>
      </c>
    </row>
    <row r="554" spans="1:3" x14ac:dyDescent="0.2">
      <c r="A554" t="s">
        <v>2183</v>
      </c>
      <c r="B554" t="s">
        <v>2174</v>
      </c>
      <c r="C554" t="s">
        <v>1947</v>
      </c>
    </row>
    <row r="555" spans="1:3" x14ac:dyDescent="0.2">
      <c r="A555" t="s">
        <v>2183</v>
      </c>
      <c r="B555" t="s">
        <v>2185</v>
      </c>
      <c r="C555" t="s">
        <v>1947</v>
      </c>
    </row>
    <row r="556" spans="1:3" x14ac:dyDescent="0.2">
      <c r="A556" t="s">
        <v>2185</v>
      </c>
      <c r="B556" t="s">
        <v>2176</v>
      </c>
      <c r="C556" t="s">
        <v>1947</v>
      </c>
    </row>
    <row r="557" spans="1:3" x14ac:dyDescent="0.2">
      <c r="A557" t="s">
        <v>2185</v>
      </c>
      <c r="B557" t="s">
        <v>2187</v>
      </c>
      <c r="C557" t="s">
        <v>1947</v>
      </c>
    </row>
    <row r="558" spans="1:3" x14ac:dyDescent="0.2">
      <c r="A558" t="s">
        <v>2187</v>
      </c>
      <c r="B558" t="s">
        <v>2177</v>
      </c>
      <c r="C558" t="s">
        <v>1947</v>
      </c>
    </row>
    <row r="559" spans="1:3" x14ac:dyDescent="0.2">
      <c r="A559" t="s">
        <v>2187</v>
      </c>
      <c r="B559" t="s">
        <v>2189</v>
      </c>
      <c r="C559" t="s">
        <v>1947</v>
      </c>
    </row>
    <row r="560" spans="1:3" x14ac:dyDescent="0.2">
      <c r="A560" t="s">
        <v>2190</v>
      </c>
      <c r="B560" t="s">
        <v>2191</v>
      </c>
      <c r="C560" t="s">
        <v>1946</v>
      </c>
    </row>
    <row r="561" spans="1:3" x14ac:dyDescent="0.2">
      <c r="A561" t="s">
        <v>2191</v>
      </c>
      <c r="B561" t="s">
        <v>2193</v>
      </c>
      <c r="C561" t="s">
        <v>1946</v>
      </c>
    </row>
    <row r="562" spans="1:3" x14ac:dyDescent="0.2">
      <c r="A562" t="s">
        <v>2193</v>
      </c>
      <c r="B562" t="s">
        <v>2195</v>
      </c>
      <c r="C562" t="s">
        <v>1946</v>
      </c>
    </row>
    <row r="563" spans="1:3" x14ac:dyDescent="0.2">
      <c r="A563" t="s">
        <v>2195</v>
      </c>
      <c r="B563" t="s">
        <v>2197</v>
      </c>
      <c r="C563" t="s">
        <v>1946</v>
      </c>
    </row>
    <row r="564" spans="1:3" x14ac:dyDescent="0.2">
      <c r="A564" t="s">
        <v>2197</v>
      </c>
      <c r="B564" t="s">
        <v>2199</v>
      </c>
      <c r="C564" t="s">
        <v>1946</v>
      </c>
    </row>
    <row r="565" spans="1:3" x14ac:dyDescent="0.2">
      <c r="A565" t="s">
        <v>2199</v>
      </c>
      <c r="B565" t="s">
        <v>2201</v>
      </c>
      <c r="C565" t="s">
        <v>1946</v>
      </c>
    </row>
    <row r="566" spans="1:3" x14ac:dyDescent="0.2">
      <c r="A566" t="s">
        <v>2351</v>
      </c>
      <c r="B566" t="s">
        <v>2352</v>
      </c>
      <c r="C566" t="s">
        <v>2344</v>
      </c>
    </row>
    <row r="567" spans="1:3" x14ac:dyDescent="0.2">
      <c r="A567" t="s">
        <v>2352</v>
      </c>
      <c r="B567" t="s">
        <v>2353</v>
      </c>
      <c r="C567" t="s">
        <v>2344</v>
      </c>
    </row>
    <row r="568" spans="1:3" x14ac:dyDescent="0.2">
      <c r="A568" t="s">
        <v>2353</v>
      </c>
      <c r="B568" t="s">
        <v>2354</v>
      </c>
      <c r="C568" t="s">
        <v>2344</v>
      </c>
    </row>
    <row r="569" spans="1:3" x14ac:dyDescent="0.2">
      <c r="A569" t="s">
        <v>2354</v>
      </c>
      <c r="B569" t="s">
        <v>2355</v>
      </c>
      <c r="C569" t="s">
        <v>2344</v>
      </c>
    </row>
    <row r="570" spans="1:3" x14ac:dyDescent="0.2">
      <c r="A570" t="s">
        <v>2355</v>
      </c>
      <c r="B570" t="s">
        <v>2356</v>
      </c>
      <c r="C570" t="s">
        <v>2344</v>
      </c>
    </row>
    <row r="571" spans="1:3" x14ac:dyDescent="0.2">
      <c r="A571" t="s">
        <v>2356</v>
      </c>
      <c r="B571" t="s">
        <v>2359</v>
      </c>
      <c r="C571" t="s">
        <v>2344</v>
      </c>
    </row>
    <row r="572" spans="1:3" x14ac:dyDescent="0.2">
      <c r="A572" t="s">
        <v>2357</v>
      </c>
      <c r="B572" t="s">
        <v>2358</v>
      </c>
      <c r="C572" t="s">
        <v>2344</v>
      </c>
    </row>
    <row r="573" spans="1:3" x14ac:dyDescent="0.2">
      <c r="A573" t="s">
        <v>2358</v>
      </c>
      <c r="B573" t="s">
        <v>2359</v>
      </c>
      <c r="C573" t="s">
        <v>2344</v>
      </c>
    </row>
    <row r="574" spans="1:3" x14ac:dyDescent="0.2">
      <c r="A574" t="s">
        <v>2359</v>
      </c>
      <c r="B574" t="s">
        <v>2360</v>
      </c>
      <c r="C574" t="s">
        <v>2344</v>
      </c>
    </row>
    <row r="575" spans="1:3" x14ac:dyDescent="0.2">
      <c r="A575" t="s">
        <v>2360</v>
      </c>
      <c r="B575" t="s">
        <v>2361</v>
      </c>
      <c r="C575" t="s">
        <v>2344</v>
      </c>
    </row>
    <row r="576" spans="1:3" x14ac:dyDescent="0.2">
      <c r="A576" t="s">
        <v>2361</v>
      </c>
      <c r="B576" t="s">
        <v>2369</v>
      </c>
      <c r="C576" t="s">
        <v>2344</v>
      </c>
    </row>
    <row r="577" spans="1:3" x14ac:dyDescent="0.2">
      <c r="A577" t="s">
        <v>2362</v>
      </c>
      <c r="B577" s="8" t="s">
        <v>2363</v>
      </c>
      <c r="C577" t="s">
        <v>2344</v>
      </c>
    </row>
    <row r="578" spans="1:3" x14ac:dyDescent="0.2">
      <c r="A578" s="8" t="s">
        <v>2363</v>
      </c>
      <c r="B578" t="s">
        <v>2364</v>
      </c>
      <c r="C578" t="s">
        <v>2344</v>
      </c>
    </row>
    <row r="579" spans="1:3" x14ac:dyDescent="0.2">
      <c r="A579" t="s">
        <v>2364</v>
      </c>
      <c r="B579" t="s">
        <v>2365</v>
      </c>
      <c r="C579" t="s">
        <v>2344</v>
      </c>
    </row>
    <row r="580" spans="1:3" x14ac:dyDescent="0.2">
      <c r="A580" t="s">
        <v>2365</v>
      </c>
      <c r="B580" t="s">
        <v>2366</v>
      </c>
      <c r="C580" t="s">
        <v>2344</v>
      </c>
    </row>
    <row r="581" spans="1:3" x14ac:dyDescent="0.2">
      <c r="A581" t="s">
        <v>2366</v>
      </c>
      <c r="B581" t="s">
        <v>2367</v>
      </c>
      <c r="C581" t="s">
        <v>2344</v>
      </c>
    </row>
    <row r="582" spans="1:3" x14ac:dyDescent="0.2">
      <c r="A582" t="s">
        <v>2367</v>
      </c>
      <c r="B582" t="s">
        <v>2368</v>
      </c>
      <c r="C582" t="s">
        <v>2344</v>
      </c>
    </row>
    <row r="583" spans="1:3" x14ac:dyDescent="0.2">
      <c r="A583" t="s">
        <v>2368</v>
      </c>
      <c r="B583" t="s">
        <v>2369</v>
      </c>
      <c r="C583" t="s">
        <v>2344</v>
      </c>
    </row>
    <row r="584" spans="1:3" x14ac:dyDescent="0.2">
      <c r="A584" t="s">
        <v>2369</v>
      </c>
      <c r="B584" t="s">
        <v>2370</v>
      </c>
      <c r="C584" t="s">
        <v>2344</v>
      </c>
    </row>
    <row r="585" spans="1:3" x14ac:dyDescent="0.2">
      <c r="A585" t="s">
        <v>2370</v>
      </c>
      <c r="B585" t="s">
        <v>2371</v>
      </c>
      <c r="C585" t="s">
        <v>2344</v>
      </c>
    </row>
    <row r="586" spans="1:3" x14ac:dyDescent="0.2">
      <c r="A586" t="s">
        <v>2371</v>
      </c>
      <c r="B586" t="s">
        <v>2372</v>
      </c>
      <c r="C586" t="s">
        <v>2344</v>
      </c>
    </row>
    <row r="587" spans="1:3" x14ac:dyDescent="0.2">
      <c r="A587" t="s">
        <v>2372</v>
      </c>
      <c r="B587" t="s">
        <v>2373</v>
      </c>
      <c r="C587" t="s">
        <v>2344</v>
      </c>
    </row>
    <row r="588" spans="1:3" x14ac:dyDescent="0.2">
      <c r="A588" t="s">
        <v>2373</v>
      </c>
      <c r="B588" t="s">
        <v>2374</v>
      </c>
      <c r="C588" t="s">
        <v>2344</v>
      </c>
    </row>
    <row r="589" spans="1:3" x14ac:dyDescent="0.2">
      <c r="A589" t="s">
        <v>2374</v>
      </c>
      <c r="B589" t="s">
        <v>2375</v>
      </c>
      <c r="C589" t="s">
        <v>2344</v>
      </c>
    </row>
    <row r="590" spans="1:3" x14ac:dyDescent="0.2">
      <c r="A590" t="s">
        <v>2375</v>
      </c>
      <c r="B590" t="s">
        <v>2376</v>
      </c>
      <c r="C590" t="s">
        <v>2344</v>
      </c>
    </row>
    <row r="591" spans="1:3" x14ac:dyDescent="0.2">
      <c r="A591" t="s">
        <v>2376</v>
      </c>
      <c r="B591" t="s">
        <v>2377</v>
      </c>
      <c r="C591" t="s">
        <v>2344</v>
      </c>
    </row>
    <row r="592" spans="1:3" x14ac:dyDescent="0.2">
      <c r="A592" t="s">
        <v>2376</v>
      </c>
      <c r="B592" t="s">
        <v>2457</v>
      </c>
      <c r="C592" t="s">
        <v>2344</v>
      </c>
    </row>
    <row r="593" spans="1:3" x14ac:dyDescent="0.2">
      <c r="A593" t="s">
        <v>2377</v>
      </c>
      <c r="B593" t="s">
        <v>2378</v>
      </c>
      <c r="C593" t="s">
        <v>2344</v>
      </c>
    </row>
    <row r="594" spans="1:3" x14ac:dyDescent="0.2">
      <c r="A594" t="s">
        <v>2378</v>
      </c>
      <c r="B594" t="s">
        <v>2379</v>
      </c>
      <c r="C594" t="s">
        <v>2344</v>
      </c>
    </row>
    <row r="595" spans="1:3" x14ac:dyDescent="0.2">
      <c r="A595" t="s">
        <v>2379</v>
      </c>
      <c r="B595" t="s">
        <v>2442</v>
      </c>
      <c r="C595" t="s">
        <v>2344</v>
      </c>
    </row>
    <row r="596" spans="1:3" x14ac:dyDescent="0.2">
      <c r="A596" t="s">
        <v>2442</v>
      </c>
      <c r="B596" t="s">
        <v>2444</v>
      </c>
      <c r="C596" t="s">
        <v>2344</v>
      </c>
    </row>
    <row r="597" spans="1:3" x14ac:dyDescent="0.2">
      <c r="A597" t="s">
        <v>2444</v>
      </c>
      <c r="B597" t="s">
        <v>2446</v>
      </c>
      <c r="C597" t="s">
        <v>2344</v>
      </c>
    </row>
    <row r="598" spans="1:3" x14ac:dyDescent="0.2">
      <c r="A598" t="s">
        <v>2446</v>
      </c>
      <c r="B598" t="s">
        <v>2448</v>
      </c>
      <c r="C598" t="s">
        <v>2344</v>
      </c>
    </row>
    <row r="599" spans="1:3" x14ac:dyDescent="0.2">
      <c r="A599" t="s">
        <v>2448</v>
      </c>
      <c r="B599" t="s">
        <v>2450</v>
      </c>
      <c r="C599" t="s">
        <v>2344</v>
      </c>
    </row>
    <row r="600" spans="1:3" x14ac:dyDescent="0.2">
      <c r="A600" t="s">
        <v>2450</v>
      </c>
      <c r="B600" t="s">
        <v>2452</v>
      </c>
      <c r="C600" t="s">
        <v>2344</v>
      </c>
    </row>
    <row r="601" spans="1:3" x14ac:dyDescent="0.2">
      <c r="A601" t="s">
        <v>2452</v>
      </c>
      <c r="B601" t="s">
        <v>2454</v>
      </c>
      <c r="C601" t="s">
        <v>2344</v>
      </c>
    </row>
    <row r="602" spans="1:3" x14ac:dyDescent="0.2">
      <c r="A602" t="s">
        <v>2454</v>
      </c>
      <c r="B602" t="s">
        <v>2456</v>
      </c>
      <c r="C602" t="s">
        <v>2344</v>
      </c>
    </row>
    <row r="603" spans="1:3" x14ac:dyDescent="0.2">
      <c r="A603" t="s">
        <v>2457</v>
      </c>
      <c r="B603" t="s">
        <v>2459</v>
      </c>
      <c r="C603" t="s">
        <v>2344</v>
      </c>
    </row>
    <row r="604" spans="1:3" x14ac:dyDescent="0.2">
      <c r="A604" t="s">
        <v>2459</v>
      </c>
      <c r="B604" t="s">
        <v>2461</v>
      </c>
      <c r="C604" t="s">
        <v>2344</v>
      </c>
    </row>
    <row r="605" spans="1:3" x14ac:dyDescent="0.2">
      <c r="A605" t="s">
        <v>2461</v>
      </c>
      <c r="B605" t="s">
        <v>2463</v>
      </c>
      <c r="C605" t="s">
        <v>2344</v>
      </c>
    </row>
    <row r="606" spans="1:3" x14ac:dyDescent="0.2">
      <c r="A606" t="s">
        <v>2463</v>
      </c>
      <c r="B606" t="s">
        <v>2465</v>
      </c>
      <c r="C606" t="s">
        <v>2344</v>
      </c>
    </row>
    <row r="607" spans="1:3" x14ac:dyDescent="0.2">
      <c r="A607" t="s">
        <v>2465</v>
      </c>
      <c r="B607" t="s">
        <v>2467</v>
      </c>
      <c r="C607" t="s">
        <v>2344</v>
      </c>
    </row>
    <row r="608" spans="1:3" x14ac:dyDescent="0.2">
      <c r="A608" t="s">
        <v>2467</v>
      </c>
      <c r="B608" t="s">
        <v>2469</v>
      </c>
      <c r="C608" t="s">
        <v>2344</v>
      </c>
    </row>
    <row r="609" spans="1:3" x14ac:dyDescent="0.2">
      <c r="A609" t="s">
        <v>2469</v>
      </c>
      <c r="B609" t="s">
        <v>2471</v>
      </c>
      <c r="C609" t="s">
        <v>2344</v>
      </c>
    </row>
    <row r="610" spans="1:3" x14ac:dyDescent="0.2">
      <c r="A610" t="s">
        <v>2471</v>
      </c>
      <c r="B610" t="s">
        <v>2473</v>
      </c>
      <c r="C610" t="s">
        <v>2344</v>
      </c>
    </row>
    <row r="611" spans="1:3" x14ac:dyDescent="0.2">
      <c r="A611" t="s">
        <v>2482</v>
      </c>
      <c r="B611" t="s">
        <v>2483</v>
      </c>
      <c r="C611" t="s">
        <v>2476</v>
      </c>
    </row>
    <row r="612" spans="1:3" x14ac:dyDescent="0.2">
      <c r="A612" t="s">
        <v>2483</v>
      </c>
      <c r="B612" t="s">
        <v>2484</v>
      </c>
      <c r="C612" t="s">
        <v>2476</v>
      </c>
    </row>
    <row r="613" spans="1:3" x14ac:dyDescent="0.2">
      <c r="A613" t="s">
        <v>2484</v>
      </c>
      <c r="B613" t="s">
        <v>2485</v>
      </c>
      <c r="C613" t="s">
        <v>2476</v>
      </c>
    </row>
    <row r="614" spans="1:3" x14ac:dyDescent="0.2">
      <c r="A614" t="s">
        <v>2485</v>
      </c>
      <c r="B614" t="s">
        <v>2486</v>
      </c>
      <c r="C614" t="s">
        <v>2476</v>
      </c>
    </row>
    <row r="615" spans="1:3" x14ac:dyDescent="0.2">
      <c r="A615" t="s">
        <v>2486</v>
      </c>
      <c r="B615" t="s">
        <v>2491</v>
      </c>
      <c r="C615" t="s">
        <v>2476</v>
      </c>
    </row>
    <row r="616" spans="1:3" x14ac:dyDescent="0.2">
      <c r="A616" t="s">
        <v>2487</v>
      </c>
      <c r="B616" t="s">
        <v>2488</v>
      </c>
      <c r="C616" t="s">
        <v>2476</v>
      </c>
    </row>
    <row r="617" spans="1:3" x14ac:dyDescent="0.2">
      <c r="A617" t="s">
        <v>2488</v>
      </c>
      <c r="B617" t="s">
        <v>2489</v>
      </c>
      <c r="C617" t="s">
        <v>2476</v>
      </c>
    </row>
    <row r="618" spans="1:3" x14ac:dyDescent="0.2">
      <c r="A618" t="s">
        <v>2489</v>
      </c>
      <c r="B618" t="s">
        <v>2490</v>
      </c>
      <c r="C618" t="s">
        <v>2476</v>
      </c>
    </row>
    <row r="619" spans="1:3" x14ac:dyDescent="0.2">
      <c r="A619" t="s">
        <v>2490</v>
      </c>
      <c r="B619" t="s">
        <v>2491</v>
      </c>
      <c r="C619" t="s">
        <v>2476</v>
      </c>
    </row>
    <row r="620" spans="1:3" x14ac:dyDescent="0.2">
      <c r="A620" t="s">
        <v>2491</v>
      </c>
      <c r="B620" t="s">
        <v>2492</v>
      </c>
      <c r="C620" t="s">
        <v>2476</v>
      </c>
    </row>
    <row r="621" spans="1:3" x14ac:dyDescent="0.2">
      <c r="A621" t="s">
        <v>2492</v>
      </c>
      <c r="B621" t="s">
        <v>2493</v>
      </c>
      <c r="C621" t="s">
        <v>2476</v>
      </c>
    </row>
    <row r="622" spans="1:3" x14ac:dyDescent="0.2">
      <c r="A622" t="s">
        <v>2493</v>
      </c>
      <c r="B622" t="s">
        <v>2494</v>
      </c>
      <c r="C622" t="s">
        <v>2476</v>
      </c>
    </row>
    <row r="623" spans="1:3" x14ac:dyDescent="0.2">
      <c r="A623" t="s">
        <v>2494</v>
      </c>
      <c r="B623" t="s">
        <v>2495</v>
      </c>
      <c r="C623" t="s">
        <v>2476</v>
      </c>
    </row>
    <row r="624" spans="1:3" x14ac:dyDescent="0.2">
      <c r="A624" t="s">
        <v>2495</v>
      </c>
      <c r="B624" t="s">
        <v>2496</v>
      </c>
      <c r="C624" t="s">
        <v>2476</v>
      </c>
    </row>
    <row r="625" spans="1:3" x14ac:dyDescent="0.2">
      <c r="A625" t="s">
        <v>2496</v>
      </c>
      <c r="B625" t="s">
        <v>2497</v>
      </c>
      <c r="C625" t="s">
        <v>2476</v>
      </c>
    </row>
    <row r="626" spans="1:3" x14ac:dyDescent="0.2">
      <c r="A626" t="s">
        <v>2497</v>
      </c>
      <c r="B626" t="s">
        <v>2498</v>
      </c>
      <c r="C626" t="s">
        <v>2476</v>
      </c>
    </row>
    <row r="627" spans="1:3" x14ac:dyDescent="0.2">
      <c r="A627" t="s">
        <v>2498</v>
      </c>
      <c r="B627" t="s">
        <v>2499</v>
      </c>
      <c r="C627" t="s">
        <v>2476</v>
      </c>
    </row>
    <row r="628" spans="1:3" x14ac:dyDescent="0.2">
      <c r="A628" t="s">
        <v>2499</v>
      </c>
      <c r="B628" t="s">
        <v>2500</v>
      </c>
      <c r="C628" t="s">
        <v>2476</v>
      </c>
    </row>
    <row r="629" spans="1:3" x14ac:dyDescent="0.2">
      <c r="A629" t="s">
        <v>2500</v>
      </c>
      <c r="B629" t="s">
        <v>2501</v>
      </c>
      <c r="C629" t="s">
        <v>2476</v>
      </c>
    </row>
    <row r="630" spans="1:3" x14ac:dyDescent="0.2">
      <c r="A630" t="s">
        <v>2501</v>
      </c>
      <c r="B630" t="s">
        <v>2502</v>
      </c>
      <c r="C630" t="s">
        <v>2476</v>
      </c>
    </row>
    <row r="631" spans="1:3" x14ac:dyDescent="0.2">
      <c r="A631" t="s">
        <v>2502</v>
      </c>
      <c r="B631" t="s">
        <v>2503</v>
      </c>
      <c r="C631" t="s">
        <v>2476</v>
      </c>
    </row>
    <row r="632" spans="1:3" x14ac:dyDescent="0.2">
      <c r="A632" t="s">
        <v>2503</v>
      </c>
      <c r="B632" t="s">
        <v>2504</v>
      </c>
      <c r="C632" t="s">
        <v>2476</v>
      </c>
    </row>
    <row r="633" spans="1:3" x14ac:dyDescent="0.2">
      <c r="A633" t="s">
        <v>2504</v>
      </c>
      <c r="B633" t="s">
        <v>2505</v>
      </c>
      <c r="C633" t="s">
        <v>2476</v>
      </c>
    </row>
    <row r="634" spans="1:3" x14ac:dyDescent="0.2">
      <c r="A634" t="s">
        <v>2505</v>
      </c>
      <c r="B634" t="s">
        <v>2506</v>
      </c>
      <c r="C634" t="s">
        <v>2476</v>
      </c>
    </row>
    <row r="635" spans="1:3" x14ac:dyDescent="0.2">
      <c r="A635" t="s">
        <v>2506</v>
      </c>
      <c r="B635" t="s">
        <v>2507</v>
      </c>
      <c r="C635" t="s">
        <v>2476</v>
      </c>
    </row>
    <row r="636" spans="1:3" x14ac:dyDescent="0.2">
      <c r="A636" t="s">
        <v>2507</v>
      </c>
      <c r="B636" t="s">
        <v>2508</v>
      </c>
      <c r="C636" t="s">
        <v>2476</v>
      </c>
    </row>
    <row r="637" spans="1:3" x14ac:dyDescent="0.2">
      <c r="A637" t="s">
        <v>2508</v>
      </c>
      <c r="B637" t="s">
        <v>2509</v>
      </c>
      <c r="C637" t="s">
        <v>2476</v>
      </c>
    </row>
    <row r="638" spans="1:3" x14ac:dyDescent="0.2">
      <c r="A638" t="s">
        <v>2508</v>
      </c>
      <c r="B638" t="s">
        <v>2512</v>
      </c>
      <c r="C638" t="s">
        <v>2476</v>
      </c>
    </row>
    <row r="639" spans="1:3" x14ac:dyDescent="0.2">
      <c r="A639" t="s">
        <v>2509</v>
      </c>
      <c r="B639" t="s">
        <v>2510</v>
      </c>
      <c r="C639" t="s">
        <v>2476</v>
      </c>
    </row>
    <row r="640" spans="1:3" x14ac:dyDescent="0.2">
      <c r="A640" t="s">
        <v>2510</v>
      </c>
      <c r="B640" t="s">
        <v>2511</v>
      </c>
      <c r="C640" t="s">
        <v>2476</v>
      </c>
    </row>
    <row r="641" spans="1:3" x14ac:dyDescent="0.2">
      <c r="A641" t="s">
        <v>2512</v>
      </c>
      <c r="B641" t="s">
        <v>2513</v>
      </c>
      <c r="C641" t="s">
        <v>2476</v>
      </c>
    </row>
    <row r="642" spans="1:3" x14ac:dyDescent="0.2">
      <c r="A642" t="s">
        <v>2513</v>
      </c>
      <c r="B642" t="s">
        <v>2509</v>
      </c>
      <c r="C642" t="s">
        <v>2476</v>
      </c>
    </row>
    <row r="643" spans="1:3" x14ac:dyDescent="0.2">
      <c r="A643" t="s">
        <v>2513</v>
      </c>
      <c r="B643" t="s">
        <v>2514</v>
      </c>
      <c r="C643" t="s">
        <v>2476</v>
      </c>
    </row>
    <row r="644" spans="1:3" x14ac:dyDescent="0.2">
      <c r="A644" t="s">
        <v>2514</v>
      </c>
      <c r="B644" t="s">
        <v>2510</v>
      </c>
      <c r="C644" t="s">
        <v>2476</v>
      </c>
    </row>
    <row r="645" spans="1:3" x14ac:dyDescent="0.2">
      <c r="A645" t="s">
        <v>2514</v>
      </c>
      <c r="B645" t="s">
        <v>2515</v>
      </c>
      <c r="C645" t="s">
        <v>2476</v>
      </c>
    </row>
    <row r="646" spans="1:3" x14ac:dyDescent="0.2">
      <c r="A646" t="s">
        <v>2515</v>
      </c>
      <c r="B646" t="s">
        <v>2511</v>
      </c>
      <c r="C646" t="s">
        <v>2476</v>
      </c>
    </row>
    <row r="647" spans="1:3" x14ac:dyDescent="0.2">
      <c r="A647" t="s">
        <v>2515</v>
      </c>
      <c r="B647" t="s">
        <v>2516</v>
      </c>
      <c r="C647" t="s">
        <v>2476</v>
      </c>
    </row>
    <row r="648" spans="1:3" x14ac:dyDescent="0.2">
      <c r="A648" t="s">
        <v>2516</v>
      </c>
      <c r="B648" t="s">
        <v>2512</v>
      </c>
      <c r="C648" t="s">
        <v>2476</v>
      </c>
    </row>
    <row r="649" spans="1:3" x14ac:dyDescent="0.2">
      <c r="A649" t="s">
        <v>2516</v>
      </c>
      <c r="B649" t="s">
        <v>2517</v>
      </c>
      <c r="C649" t="s">
        <v>2476</v>
      </c>
    </row>
    <row r="650" spans="1:3" x14ac:dyDescent="0.2">
      <c r="A650" t="s">
        <v>2517</v>
      </c>
      <c r="B650" t="s">
        <v>2513</v>
      </c>
      <c r="C650" t="s">
        <v>2476</v>
      </c>
    </row>
    <row r="651" spans="1:3" x14ac:dyDescent="0.2">
      <c r="A651" t="s">
        <v>2517</v>
      </c>
      <c r="B651" t="s">
        <v>2518</v>
      </c>
      <c r="C651" t="s">
        <v>2476</v>
      </c>
    </row>
    <row r="652" spans="1:3" x14ac:dyDescent="0.2">
      <c r="A652" t="s">
        <v>2518</v>
      </c>
      <c r="B652" t="s">
        <v>2514</v>
      </c>
      <c r="C652" t="s">
        <v>2476</v>
      </c>
    </row>
    <row r="653" spans="1:3" x14ac:dyDescent="0.2">
      <c r="A653" t="s">
        <v>2518</v>
      </c>
      <c r="B653" t="s">
        <v>2519</v>
      </c>
      <c r="C653" t="s">
        <v>2476</v>
      </c>
    </row>
    <row r="654" spans="1:3" x14ac:dyDescent="0.2">
      <c r="A654" t="s">
        <v>2519</v>
      </c>
      <c r="B654" t="s">
        <v>2515</v>
      </c>
      <c r="C654" t="s">
        <v>2476</v>
      </c>
    </row>
    <row r="655" spans="1:3" x14ac:dyDescent="0.2">
      <c r="A655" t="s">
        <v>2519</v>
      </c>
      <c r="B655" t="s">
        <v>2520</v>
      </c>
      <c r="C655" t="s">
        <v>2476</v>
      </c>
    </row>
    <row r="656" spans="1:3" x14ac:dyDescent="0.2">
      <c r="A656" t="s">
        <v>2520</v>
      </c>
      <c r="B656" t="s">
        <v>2516</v>
      </c>
      <c r="C656" t="s">
        <v>2476</v>
      </c>
    </row>
    <row r="657" spans="1:3" x14ac:dyDescent="0.2">
      <c r="A657" t="s">
        <v>2520</v>
      </c>
      <c r="B657" t="s">
        <v>2521</v>
      </c>
      <c r="C657" t="s">
        <v>2476</v>
      </c>
    </row>
    <row r="658" spans="1:3" x14ac:dyDescent="0.2">
      <c r="A658" t="s">
        <v>2521</v>
      </c>
      <c r="B658" t="s">
        <v>2517</v>
      </c>
      <c r="C658" t="s">
        <v>2476</v>
      </c>
    </row>
    <row r="659" spans="1:3" x14ac:dyDescent="0.2">
      <c r="A659" t="s">
        <v>2521</v>
      </c>
      <c r="B659" s="8" t="s">
        <v>2522</v>
      </c>
      <c r="C659" t="s">
        <v>2476</v>
      </c>
    </row>
    <row r="660" spans="1:3" x14ac:dyDescent="0.2">
      <c r="A660" s="8" t="s">
        <v>2522</v>
      </c>
      <c r="B660" t="s">
        <v>2518</v>
      </c>
      <c r="C660" t="s">
        <v>2476</v>
      </c>
    </row>
    <row r="661" spans="1:3" x14ac:dyDescent="0.2">
      <c r="A661" s="8" t="s">
        <v>2522</v>
      </c>
      <c r="B661" t="s">
        <v>2523</v>
      </c>
      <c r="C661" t="s">
        <v>2476</v>
      </c>
    </row>
    <row r="662" spans="1:3" x14ac:dyDescent="0.2">
      <c r="A662" t="s">
        <v>2523</v>
      </c>
      <c r="B662" t="s">
        <v>2519</v>
      </c>
      <c r="C662" t="s">
        <v>2476</v>
      </c>
    </row>
    <row r="663" spans="1:3" x14ac:dyDescent="0.2">
      <c r="A663" t="s">
        <v>2523</v>
      </c>
      <c r="B663" t="s">
        <v>2524</v>
      </c>
      <c r="C663" t="s">
        <v>2476</v>
      </c>
    </row>
    <row r="664" spans="1:3" x14ac:dyDescent="0.2">
      <c r="A664" t="s">
        <v>2524</v>
      </c>
      <c r="B664" t="s">
        <v>2520</v>
      </c>
      <c r="C664" t="s">
        <v>2476</v>
      </c>
    </row>
    <row r="665" spans="1:3" x14ac:dyDescent="0.2">
      <c r="A665" t="s">
        <v>2524</v>
      </c>
      <c r="B665" t="s">
        <v>2525</v>
      </c>
      <c r="C665" t="s">
        <v>2476</v>
      </c>
    </row>
    <row r="666" spans="1:3" x14ac:dyDescent="0.2">
      <c r="A666" t="s">
        <v>2525</v>
      </c>
      <c r="B666" t="s">
        <v>2521</v>
      </c>
      <c r="C666" t="s">
        <v>2476</v>
      </c>
    </row>
    <row r="667" spans="1:3" x14ac:dyDescent="0.2">
      <c r="A667" t="s">
        <v>2525</v>
      </c>
      <c r="B667" t="s">
        <v>2526</v>
      </c>
      <c r="C667" t="s">
        <v>2476</v>
      </c>
    </row>
    <row r="668" spans="1:3" x14ac:dyDescent="0.2">
      <c r="A668" t="s">
        <v>2526</v>
      </c>
      <c r="B668" s="8" t="s">
        <v>2522</v>
      </c>
      <c r="C668" t="s">
        <v>2476</v>
      </c>
    </row>
    <row r="669" spans="1:3" x14ac:dyDescent="0.2">
      <c r="A669" t="s">
        <v>2526</v>
      </c>
      <c r="B669" t="s">
        <v>2527</v>
      </c>
      <c r="C669" t="s">
        <v>2476</v>
      </c>
    </row>
    <row r="670" spans="1:3" x14ac:dyDescent="0.2">
      <c r="A670" t="s">
        <v>2527</v>
      </c>
      <c r="B670" t="s">
        <v>2523</v>
      </c>
      <c r="C670" t="s">
        <v>2476</v>
      </c>
    </row>
    <row r="671" spans="1:3" x14ac:dyDescent="0.2">
      <c r="A671" t="s">
        <v>2527</v>
      </c>
      <c r="B671" t="s">
        <v>2528</v>
      </c>
      <c r="C671" t="s">
        <v>2476</v>
      </c>
    </row>
    <row r="672" spans="1:3" x14ac:dyDescent="0.2">
      <c r="A672" t="s">
        <v>36</v>
      </c>
      <c r="B672" t="s">
        <v>133</v>
      </c>
      <c r="C672" t="s">
        <v>5</v>
      </c>
    </row>
    <row r="673" spans="1:3" x14ac:dyDescent="0.2">
      <c r="A673" t="s">
        <v>36</v>
      </c>
      <c r="B673" t="s">
        <v>400</v>
      </c>
      <c r="C673" t="s">
        <v>5</v>
      </c>
    </row>
    <row r="674" spans="1:3" x14ac:dyDescent="0.2">
      <c r="A674" t="s">
        <v>38</v>
      </c>
      <c r="B674" t="s">
        <v>736</v>
      </c>
      <c r="C674" t="s">
        <v>5</v>
      </c>
    </row>
    <row r="675" spans="1:3" x14ac:dyDescent="0.2">
      <c r="A675" t="s">
        <v>39</v>
      </c>
      <c r="B675" t="s">
        <v>1028</v>
      </c>
      <c r="C675" t="s">
        <v>5</v>
      </c>
    </row>
    <row r="676" spans="1:3" x14ac:dyDescent="0.2">
      <c r="A676" t="s">
        <v>40</v>
      </c>
      <c r="B676" t="s">
        <v>693</v>
      </c>
      <c r="C676" t="s">
        <v>5</v>
      </c>
    </row>
    <row r="677" spans="1:3" x14ac:dyDescent="0.2">
      <c r="A677" t="s">
        <v>40</v>
      </c>
      <c r="B677" t="s">
        <v>995</v>
      </c>
      <c r="C677" t="s">
        <v>5</v>
      </c>
    </row>
    <row r="678" spans="1:3" x14ac:dyDescent="0.2">
      <c r="A678" t="s">
        <v>42</v>
      </c>
      <c r="B678" t="s">
        <v>602</v>
      </c>
      <c r="C678" t="s">
        <v>5</v>
      </c>
    </row>
    <row r="679" spans="1:3" x14ac:dyDescent="0.2">
      <c r="A679" t="s">
        <v>44</v>
      </c>
      <c r="B679" t="s">
        <v>291</v>
      </c>
      <c r="C679" t="s">
        <v>5</v>
      </c>
    </row>
    <row r="680" spans="1:3" x14ac:dyDescent="0.2">
      <c r="A680" t="s">
        <v>44</v>
      </c>
      <c r="B680" t="s">
        <v>606</v>
      </c>
      <c r="C680" t="s">
        <v>5</v>
      </c>
    </row>
    <row r="681" spans="1:3" x14ac:dyDescent="0.2">
      <c r="A681" t="s">
        <v>44</v>
      </c>
      <c r="B681" t="s">
        <v>969</v>
      </c>
      <c r="C681" t="s">
        <v>5</v>
      </c>
    </row>
    <row r="682" spans="1:3" x14ac:dyDescent="0.2">
      <c r="A682" t="s">
        <v>44</v>
      </c>
      <c r="B682" t="s">
        <v>1044</v>
      </c>
      <c r="C682" t="s">
        <v>5</v>
      </c>
    </row>
    <row r="683" spans="1:3" x14ac:dyDescent="0.2">
      <c r="A683" t="s">
        <v>45</v>
      </c>
      <c r="B683" t="s">
        <v>970</v>
      </c>
      <c r="C683" t="s">
        <v>5</v>
      </c>
    </row>
    <row r="684" spans="1:3" x14ac:dyDescent="0.2">
      <c r="A684" t="s">
        <v>47</v>
      </c>
      <c r="B684" t="s">
        <v>394</v>
      </c>
      <c r="C684" t="s">
        <v>5</v>
      </c>
    </row>
    <row r="685" spans="1:3" x14ac:dyDescent="0.2">
      <c r="A685" t="s">
        <v>47</v>
      </c>
      <c r="B685" t="s">
        <v>704</v>
      </c>
      <c r="C685" t="s">
        <v>5</v>
      </c>
    </row>
    <row r="686" spans="1:3" x14ac:dyDescent="0.2">
      <c r="A686" t="s">
        <v>48</v>
      </c>
      <c r="B686" t="s">
        <v>1045</v>
      </c>
      <c r="C686" t="s">
        <v>5</v>
      </c>
    </row>
    <row r="687" spans="1:3" x14ac:dyDescent="0.2">
      <c r="A687" t="s">
        <v>49</v>
      </c>
      <c r="B687" t="s">
        <v>707</v>
      </c>
      <c r="C687" t="s">
        <v>5</v>
      </c>
    </row>
    <row r="688" spans="1:3" x14ac:dyDescent="0.2">
      <c r="A688" t="s">
        <v>50</v>
      </c>
      <c r="B688" t="s">
        <v>155</v>
      </c>
      <c r="C688" t="s">
        <v>5</v>
      </c>
    </row>
    <row r="689" spans="1:3" x14ac:dyDescent="0.2">
      <c r="A689" t="s">
        <v>50</v>
      </c>
      <c r="B689" t="s">
        <v>492</v>
      </c>
      <c r="C689" t="s">
        <v>5</v>
      </c>
    </row>
    <row r="690" spans="1:3" x14ac:dyDescent="0.2">
      <c r="A690" t="s">
        <v>50</v>
      </c>
      <c r="B690" t="s">
        <v>752</v>
      </c>
      <c r="C690" t="s">
        <v>5</v>
      </c>
    </row>
    <row r="691" spans="1:3" x14ac:dyDescent="0.2">
      <c r="A691" t="s">
        <v>133</v>
      </c>
      <c r="B691" t="s">
        <v>400</v>
      </c>
      <c r="C691" t="s">
        <v>5</v>
      </c>
    </row>
    <row r="692" spans="1:3" x14ac:dyDescent="0.2">
      <c r="A692" t="s">
        <v>137</v>
      </c>
      <c r="B692" t="s">
        <v>209</v>
      </c>
      <c r="C692" t="s">
        <v>5</v>
      </c>
    </row>
    <row r="693" spans="1:3" x14ac:dyDescent="0.2">
      <c r="A693" t="s">
        <v>139</v>
      </c>
      <c r="B693" t="s">
        <v>1024</v>
      </c>
      <c r="C693" t="s">
        <v>5</v>
      </c>
    </row>
    <row r="694" spans="1:3" x14ac:dyDescent="0.2">
      <c r="A694" t="s">
        <v>141</v>
      </c>
      <c r="B694" t="s">
        <v>989</v>
      </c>
      <c r="C694" t="s">
        <v>5</v>
      </c>
    </row>
    <row r="695" spans="1:3" x14ac:dyDescent="0.2">
      <c r="A695" t="s">
        <v>143</v>
      </c>
      <c r="B695" t="s">
        <v>283</v>
      </c>
      <c r="C695" t="s">
        <v>5</v>
      </c>
    </row>
    <row r="696" spans="1:3" x14ac:dyDescent="0.2">
      <c r="A696" t="s">
        <v>144</v>
      </c>
      <c r="B696" t="s">
        <v>284</v>
      </c>
      <c r="C696" t="s">
        <v>5</v>
      </c>
    </row>
    <row r="697" spans="1:3" x14ac:dyDescent="0.2">
      <c r="A697" t="s">
        <v>144</v>
      </c>
      <c r="B697" t="s">
        <v>387</v>
      </c>
      <c r="C697" t="s">
        <v>5</v>
      </c>
    </row>
    <row r="698" spans="1:3" x14ac:dyDescent="0.2">
      <c r="A698" t="s">
        <v>145</v>
      </c>
      <c r="B698" t="s">
        <v>386</v>
      </c>
      <c r="C698" t="s">
        <v>5</v>
      </c>
    </row>
    <row r="699" spans="1:3" x14ac:dyDescent="0.2">
      <c r="A699" t="s">
        <v>145</v>
      </c>
      <c r="B699" t="s">
        <v>582</v>
      </c>
      <c r="C699" t="s">
        <v>5</v>
      </c>
    </row>
    <row r="700" spans="1:3" x14ac:dyDescent="0.2">
      <c r="A700" t="s">
        <v>146</v>
      </c>
      <c r="B700" t="s">
        <v>385</v>
      </c>
      <c r="C700" t="s">
        <v>5</v>
      </c>
    </row>
    <row r="701" spans="1:3" x14ac:dyDescent="0.2">
      <c r="A701" t="s">
        <v>146</v>
      </c>
      <c r="B701" t="s">
        <v>677</v>
      </c>
      <c r="C701" t="s">
        <v>5</v>
      </c>
    </row>
    <row r="702" spans="1:3" x14ac:dyDescent="0.2">
      <c r="A702" t="s">
        <v>148</v>
      </c>
      <c r="B702" s="8" t="s">
        <v>975</v>
      </c>
      <c r="C702" t="s">
        <v>5</v>
      </c>
    </row>
    <row r="703" spans="1:3" x14ac:dyDescent="0.2">
      <c r="A703" t="s">
        <v>151</v>
      </c>
      <c r="B703" t="s">
        <v>223</v>
      </c>
      <c r="C703" t="s">
        <v>5</v>
      </c>
    </row>
    <row r="704" spans="1:3" x14ac:dyDescent="0.2">
      <c r="A704" t="s">
        <v>155</v>
      </c>
      <c r="B704" t="s">
        <v>492</v>
      </c>
      <c r="C704" t="s">
        <v>5</v>
      </c>
    </row>
    <row r="705" spans="1:3" x14ac:dyDescent="0.2">
      <c r="A705" t="s">
        <v>155</v>
      </c>
      <c r="B705" t="s">
        <v>752</v>
      </c>
      <c r="C705" t="s">
        <v>5</v>
      </c>
    </row>
    <row r="706" spans="1:3" x14ac:dyDescent="0.2">
      <c r="A706" t="s">
        <v>211</v>
      </c>
      <c r="B706" t="s">
        <v>993</v>
      </c>
      <c r="C706" t="s">
        <v>5</v>
      </c>
    </row>
    <row r="707" spans="1:3" x14ac:dyDescent="0.2">
      <c r="A707" t="s">
        <v>211</v>
      </c>
      <c r="B707" t="s">
        <v>1026</v>
      </c>
      <c r="C707" t="s">
        <v>5</v>
      </c>
    </row>
    <row r="708" spans="1:3" x14ac:dyDescent="0.2">
      <c r="A708" t="s">
        <v>211</v>
      </c>
      <c r="B708" t="s">
        <v>1041</v>
      </c>
      <c r="C708" t="s">
        <v>5</v>
      </c>
    </row>
    <row r="709" spans="1:3" x14ac:dyDescent="0.2">
      <c r="A709" t="s">
        <v>212</v>
      </c>
      <c r="B709" t="s">
        <v>739</v>
      </c>
      <c r="C709" t="s">
        <v>5</v>
      </c>
    </row>
    <row r="710" spans="1:3" x14ac:dyDescent="0.2">
      <c r="A710" s="8" t="s">
        <v>213</v>
      </c>
      <c r="B710" s="8" t="s">
        <v>598</v>
      </c>
      <c r="C710" t="s">
        <v>5</v>
      </c>
    </row>
    <row r="711" spans="1:3" x14ac:dyDescent="0.2">
      <c r="A711" s="8" t="s">
        <v>213</v>
      </c>
      <c r="B711" t="s">
        <v>695</v>
      </c>
      <c r="C711" t="s">
        <v>5</v>
      </c>
    </row>
    <row r="712" spans="1:3" x14ac:dyDescent="0.2">
      <c r="A712" t="s">
        <v>217</v>
      </c>
      <c r="B712" t="s">
        <v>288</v>
      </c>
      <c r="C712" t="s">
        <v>5</v>
      </c>
    </row>
    <row r="713" spans="1:3" x14ac:dyDescent="0.2">
      <c r="A713" t="s">
        <v>218</v>
      </c>
      <c r="B713" t="s">
        <v>972</v>
      </c>
      <c r="C713" t="s">
        <v>5</v>
      </c>
    </row>
    <row r="714" spans="1:3" x14ac:dyDescent="0.2">
      <c r="A714" t="s">
        <v>220</v>
      </c>
      <c r="B714" t="s">
        <v>390</v>
      </c>
      <c r="C714" t="s">
        <v>5</v>
      </c>
    </row>
    <row r="715" spans="1:3" x14ac:dyDescent="0.2">
      <c r="A715" t="s">
        <v>220</v>
      </c>
      <c r="B715" t="s">
        <v>700</v>
      </c>
      <c r="C715" t="s">
        <v>5</v>
      </c>
    </row>
    <row r="716" spans="1:3" x14ac:dyDescent="0.2">
      <c r="A716" t="s">
        <v>220</v>
      </c>
      <c r="B716" t="s">
        <v>746</v>
      </c>
      <c r="C716" t="s">
        <v>5</v>
      </c>
    </row>
    <row r="717" spans="1:3" x14ac:dyDescent="0.2">
      <c r="A717" t="s">
        <v>220</v>
      </c>
      <c r="B717" t="s">
        <v>973</v>
      </c>
      <c r="C717" t="s">
        <v>5</v>
      </c>
    </row>
    <row r="718" spans="1:3" x14ac:dyDescent="0.2">
      <c r="A718" t="s">
        <v>224</v>
      </c>
      <c r="B718" t="s">
        <v>266</v>
      </c>
      <c r="C718" t="s">
        <v>5</v>
      </c>
    </row>
    <row r="719" spans="1:3" x14ac:dyDescent="0.2">
      <c r="A719" t="s">
        <v>263</v>
      </c>
      <c r="B719" t="s">
        <v>980</v>
      </c>
      <c r="C719" t="s">
        <v>5</v>
      </c>
    </row>
    <row r="720" spans="1:3" x14ac:dyDescent="0.2">
      <c r="A720" t="s">
        <v>281</v>
      </c>
      <c r="B720" t="s">
        <v>985</v>
      </c>
      <c r="C720" t="s">
        <v>5</v>
      </c>
    </row>
    <row r="721" spans="1:3" x14ac:dyDescent="0.2">
      <c r="A721" t="s">
        <v>284</v>
      </c>
      <c r="B721" t="s">
        <v>387</v>
      </c>
      <c r="C721" t="s">
        <v>5</v>
      </c>
    </row>
    <row r="722" spans="1:3" x14ac:dyDescent="0.2">
      <c r="A722" t="s">
        <v>285</v>
      </c>
      <c r="B722" t="s">
        <v>388</v>
      </c>
      <c r="C722" t="s">
        <v>5</v>
      </c>
    </row>
    <row r="723" spans="1:3" x14ac:dyDescent="0.2">
      <c r="A723" t="s">
        <v>285</v>
      </c>
      <c r="B723" t="s">
        <v>588</v>
      </c>
      <c r="C723" t="s">
        <v>5</v>
      </c>
    </row>
    <row r="724" spans="1:3" x14ac:dyDescent="0.2">
      <c r="A724" t="s">
        <v>287</v>
      </c>
      <c r="B724" t="s">
        <v>699</v>
      </c>
      <c r="C724" t="s">
        <v>5</v>
      </c>
    </row>
    <row r="725" spans="1:3" x14ac:dyDescent="0.2">
      <c r="A725" t="s">
        <v>287</v>
      </c>
      <c r="B725" t="s">
        <v>745</v>
      </c>
      <c r="C725" t="s">
        <v>5</v>
      </c>
    </row>
    <row r="726" spans="1:3" x14ac:dyDescent="0.2">
      <c r="A726" t="s">
        <v>291</v>
      </c>
      <c r="B726" t="s">
        <v>606</v>
      </c>
      <c r="C726" t="s">
        <v>5</v>
      </c>
    </row>
    <row r="727" spans="1:3" x14ac:dyDescent="0.2">
      <c r="A727" t="s">
        <v>291</v>
      </c>
      <c r="B727" t="s">
        <v>969</v>
      </c>
      <c r="C727" t="s">
        <v>5</v>
      </c>
    </row>
    <row r="728" spans="1:3" x14ac:dyDescent="0.2">
      <c r="A728" t="s">
        <v>291</v>
      </c>
      <c r="B728" t="s">
        <v>1044</v>
      </c>
      <c r="C728" t="s">
        <v>5</v>
      </c>
    </row>
    <row r="729" spans="1:3" x14ac:dyDescent="0.2">
      <c r="A729" t="s">
        <v>294</v>
      </c>
      <c r="B729" t="s">
        <v>963</v>
      </c>
      <c r="C729" t="s">
        <v>5</v>
      </c>
    </row>
    <row r="730" spans="1:3" x14ac:dyDescent="0.2">
      <c r="A730" t="s">
        <v>298</v>
      </c>
      <c r="B730" t="s">
        <v>460</v>
      </c>
      <c r="C730" t="s">
        <v>5</v>
      </c>
    </row>
    <row r="731" spans="1:3" x14ac:dyDescent="0.2">
      <c r="A731" t="s">
        <v>298</v>
      </c>
      <c r="B731" t="s">
        <v>1002</v>
      </c>
      <c r="C731" t="s">
        <v>5</v>
      </c>
    </row>
    <row r="732" spans="1:3" x14ac:dyDescent="0.2">
      <c r="A732" t="s">
        <v>298</v>
      </c>
      <c r="B732" t="s">
        <v>1033</v>
      </c>
      <c r="C732" t="s">
        <v>5</v>
      </c>
    </row>
    <row r="733" spans="1:3" x14ac:dyDescent="0.2">
      <c r="A733" t="s">
        <v>300</v>
      </c>
      <c r="B733" t="s">
        <v>464</v>
      </c>
      <c r="C733" t="s">
        <v>5</v>
      </c>
    </row>
    <row r="734" spans="1:3" x14ac:dyDescent="0.2">
      <c r="A734" t="s">
        <v>301</v>
      </c>
      <c r="B734" t="s">
        <v>466</v>
      </c>
      <c r="C734" t="s">
        <v>5</v>
      </c>
    </row>
    <row r="735" spans="1:3" x14ac:dyDescent="0.2">
      <c r="A735" t="s">
        <v>385</v>
      </c>
      <c r="B735" t="s">
        <v>677</v>
      </c>
      <c r="C735" t="s">
        <v>5</v>
      </c>
    </row>
    <row r="736" spans="1:3" x14ac:dyDescent="0.2">
      <c r="A736" t="s">
        <v>386</v>
      </c>
      <c r="B736" t="s">
        <v>582</v>
      </c>
      <c r="C736" t="s">
        <v>5</v>
      </c>
    </row>
    <row r="737" spans="1:3" x14ac:dyDescent="0.2">
      <c r="A737" t="s">
        <v>388</v>
      </c>
      <c r="B737" t="s">
        <v>588</v>
      </c>
      <c r="C737" t="s">
        <v>5</v>
      </c>
    </row>
    <row r="738" spans="1:3" x14ac:dyDescent="0.2">
      <c r="A738" t="s">
        <v>390</v>
      </c>
      <c r="B738" t="s">
        <v>700</v>
      </c>
      <c r="C738" t="s">
        <v>5</v>
      </c>
    </row>
    <row r="739" spans="1:3" x14ac:dyDescent="0.2">
      <c r="A739" t="s">
        <v>390</v>
      </c>
      <c r="B739" t="s">
        <v>746</v>
      </c>
      <c r="C739" t="s">
        <v>5</v>
      </c>
    </row>
    <row r="740" spans="1:3" x14ac:dyDescent="0.2">
      <c r="A740" t="s">
        <v>390</v>
      </c>
      <c r="B740" t="s">
        <v>973</v>
      </c>
      <c r="C740" t="s">
        <v>5</v>
      </c>
    </row>
    <row r="741" spans="1:3" x14ac:dyDescent="0.2">
      <c r="A741" t="s">
        <v>391</v>
      </c>
      <c r="B741" t="s">
        <v>747</v>
      </c>
      <c r="C741" t="s">
        <v>5</v>
      </c>
    </row>
    <row r="742" spans="1:3" x14ac:dyDescent="0.2">
      <c r="A742" t="s">
        <v>394</v>
      </c>
      <c r="B742" t="s">
        <v>704</v>
      </c>
      <c r="C742" t="s">
        <v>5</v>
      </c>
    </row>
    <row r="743" spans="1:3" x14ac:dyDescent="0.2">
      <c r="A743" s="8" t="s">
        <v>396</v>
      </c>
      <c r="B743" t="s">
        <v>968</v>
      </c>
      <c r="C743" t="s">
        <v>5</v>
      </c>
    </row>
    <row r="744" spans="1:3" x14ac:dyDescent="0.2">
      <c r="A744" t="s">
        <v>399</v>
      </c>
      <c r="B744" t="s">
        <v>474</v>
      </c>
      <c r="C744" t="s">
        <v>5</v>
      </c>
    </row>
    <row r="745" spans="1:3" x14ac:dyDescent="0.2">
      <c r="A745" t="s">
        <v>399</v>
      </c>
      <c r="B745" t="s">
        <v>620</v>
      </c>
      <c r="C745" t="s">
        <v>5</v>
      </c>
    </row>
    <row r="746" spans="1:3" x14ac:dyDescent="0.2">
      <c r="A746" t="s">
        <v>444</v>
      </c>
      <c r="B746" t="s">
        <v>733</v>
      </c>
      <c r="C746" t="s">
        <v>5</v>
      </c>
    </row>
    <row r="747" spans="1:3" x14ac:dyDescent="0.2">
      <c r="A747" t="s">
        <v>452</v>
      </c>
      <c r="B747" t="s">
        <v>689</v>
      </c>
      <c r="C747" t="s">
        <v>5</v>
      </c>
    </row>
    <row r="748" spans="1:3" x14ac:dyDescent="0.2">
      <c r="A748" t="s">
        <v>452</v>
      </c>
      <c r="B748" t="s">
        <v>957</v>
      </c>
      <c r="C748" t="s">
        <v>5</v>
      </c>
    </row>
    <row r="749" spans="1:3" x14ac:dyDescent="0.2">
      <c r="A749" t="s">
        <v>458</v>
      </c>
      <c r="B749" t="s">
        <v>1004</v>
      </c>
      <c r="C749" t="s">
        <v>5</v>
      </c>
    </row>
    <row r="750" spans="1:3" x14ac:dyDescent="0.2">
      <c r="A750" t="s">
        <v>460</v>
      </c>
      <c r="B750" t="s">
        <v>1002</v>
      </c>
      <c r="C750" t="s">
        <v>5</v>
      </c>
    </row>
    <row r="751" spans="1:3" x14ac:dyDescent="0.2">
      <c r="A751" t="s">
        <v>460</v>
      </c>
      <c r="B751" t="s">
        <v>1033</v>
      </c>
      <c r="C751" t="s">
        <v>5</v>
      </c>
    </row>
    <row r="752" spans="1:3" x14ac:dyDescent="0.2">
      <c r="A752" t="s">
        <v>474</v>
      </c>
      <c r="B752" t="s">
        <v>620</v>
      </c>
      <c r="C752" t="s">
        <v>5</v>
      </c>
    </row>
    <row r="753" spans="1:3" x14ac:dyDescent="0.2">
      <c r="A753" t="s">
        <v>482</v>
      </c>
      <c r="B753" t="s">
        <v>1046</v>
      </c>
      <c r="C753" t="s">
        <v>5</v>
      </c>
    </row>
    <row r="754" spans="1:3" x14ac:dyDescent="0.2">
      <c r="A754" t="s">
        <v>486</v>
      </c>
      <c r="B754" t="s">
        <v>709</v>
      </c>
      <c r="C754" t="s">
        <v>5</v>
      </c>
    </row>
    <row r="755" spans="1:3" x14ac:dyDescent="0.2">
      <c r="A755" t="s">
        <v>492</v>
      </c>
      <c r="B755" t="s">
        <v>752</v>
      </c>
      <c r="C755" t="s">
        <v>5</v>
      </c>
    </row>
    <row r="756" spans="1:3" x14ac:dyDescent="0.2">
      <c r="A756" t="s">
        <v>584</v>
      </c>
      <c r="B756" t="s">
        <v>676</v>
      </c>
      <c r="C756" t="s">
        <v>5</v>
      </c>
    </row>
    <row r="757" spans="1:3" x14ac:dyDescent="0.2">
      <c r="A757" t="s">
        <v>596</v>
      </c>
      <c r="B757" t="s">
        <v>741</v>
      </c>
      <c r="C757" t="s">
        <v>5</v>
      </c>
    </row>
    <row r="758" spans="1:3" x14ac:dyDescent="0.2">
      <c r="A758" s="8" t="s">
        <v>598</v>
      </c>
      <c r="B758" t="s">
        <v>695</v>
      </c>
      <c r="C758" t="s">
        <v>5</v>
      </c>
    </row>
    <row r="759" spans="1:3" x14ac:dyDescent="0.2">
      <c r="A759" t="s">
        <v>600</v>
      </c>
      <c r="B759" t="s">
        <v>1043</v>
      </c>
      <c r="C759" t="s">
        <v>5</v>
      </c>
    </row>
    <row r="760" spans="1:3" x14ac:dyDescent="0.2">
      <c r="A760" t="s">
        <v>606</v>
      </c>
      <c r="B760" t="s">
        <v>969</v>
      </c>
      <c r="C760" t="s">
        <v>5</v>
      </c>
    </row>
    <row r="761" spans="1:3" x14ac:dyDescent="0.2">
      <c r="A761" t="s">
        <v>606</v>
      </c>
      <c r="B761" t="s">
        <v>1044</v>
      </c>
      <c r="C761" t="s">
        <v>5</v>
      </c>
    </row>
    <row r="762" spans="1:3" x14ac:dyDescent="0.2">
      <c r="A762" t="s">
        <v>612</v>
      </c>
      <c r="B762" t="s">
        <v>967</v>
      </c>
      <c r="C762" t="s">
        <v>5</v>
      </c>
    </row>
    <row r="763" spans="1:3" x14ac:dyDescent="0.2">
      <c r="A763" t="s">
        <v>682</v>
      </c>
      <c r="B763" t="s">
        <v>978</v>
      </c>
      <c r="C763" t="s">
        <v>5</v>
      </c>
    </row>
    <row r="764" spans="1:3" x14ac:dyDescent="0.2">
      <c r="A764" t="s">
        <v>689</v>
      </c>
      <c r="B764" t="s">
        <v>689</v>
      </c>
      <c r="C764" t="s">
        <v>5</v>
      </c>
    </row>
    <row r="765" spans="1:3" x14ac:dyDescent="0.2">
      <c r="A765" t="s">
        <v>692</v>
      </c>
      <c r="B765" t="s">
        <v>1029</v>
      </c>
      <c r="C765" t="s">
        <v>5</v>
      </c>
    </row>
    <row r="766" spans="1:3" x14ac:dyDescent="0.2">
      <c r="A766" t="s">
        <v>693</v>
      </c>
      <c r="B766" t="s">
        <v>995</v>
      </c>
      <c r="C766" t="s">
        <v>5</v>
      </c>
    </row>
    <row r="767" spans="1:3" x14ac:dyDescent="0.2">
      <c r="A767" t="s">
        <v>694</v>
      </c>
      <c r="B767" t="s">
        <v>994</v>
      </c>
      <c r="C767" t="s">
        <v>5</v>
      </c>
    </row>
    <row r="768" spans="1:3" x14ac:dyDescent="0.2">
      <c r="A768" t="s">
        <v>694</v>
      </c>
      <c r="B768" t="s">
        <v>1042</v>
      </c>
      <c r="C768" t="s">
        <v>5</v>
      </c>
    </row>
    <row r="769" spans="1:3" x14ac:dyDescent="0.2">
      <c r="A769" t="s">
        <v>696</v>
      </c>
      <c r="B769" t="s">
        <v>742</v>
      </c>
      <c r="C769" t="s">
        <v>5</v>
      </c>
    </row>
    <row r="770" spans="1:3" x14ac:dyDescent="0.2">
      <c r="A770" t="s">
        <v>699</v>
      </c>
      <c r="B770" t="s">
        <v>699</v>
      </c>
      <c r="C770" t="s">
        <v>5</v>
      </c>
    </row>
    <row r="771" spans="1:3" x14ac:dyDescent="0.2">
      <c r="A771" t="s">
        <v>700</v>
      </c>
      <c r="B771" t="s">
        <v>746</v>
      </c>
      <c r="C771" t="s">
        <v>5</v>
      </c>
    </row>
    <row r="772" spans="1:3" x14ac:dyDescent="0.2">
      <c r="A772" t="s">
        <v>700</v>
      </c>
      <c r="B772" t="s">
        <v>973</v>
      </c>
      <c r="C772" t="s">
        <v>5</v>
      </c>
    </row>
    <row r="773" spans="1:3" x14ac:dyDescent="0.2">
      <c r="A773" t="s">
        <v>727</v>
      </c>
      <c r="B773" t="s">
        <v>764</v>
      </c>
      <c r="C773" t="s">
        <v>5</v>
      </c>
    </row>
    <row r="774" spans="1:3" x14ac:dyDescent="0.2">
      <c r="A774" t="s">
        <v>728</v>
      </c>
      <c r="B774" t="s">
        <v>762</v>
      </c>
      <c r="C774" t="s">
        <v>5</v>
      </c>
    </row>
    <row r="775" spans="1:3" x14ac:dyDescent="0.2">
      <c r="A775" t="s">
        <v>738</v>
      </c>
      <c r="B775" t="s">
        <v>1027</v>
      </c>
      <c r="C775" t="s">
        <v>5</v>
      </c>
    </row>
    <row r="776" spans="1:3" x14ac:dyDescent="0.2">
      <c r="A776" t="s">
        <v>740</v>
      </c>
      <c r="B776" t="s">
        <v>211</v>
      </c>
      <c r="C776" t="s">
        <v>5</v>
      </c>
    </row>
    <row r="777" spans="1:3" x14ac:dyDescent="0.2">
      <c r="A777" t="s">
        <v>745</v>
      </c>
      <c r="B777" t="s">
        <v>699</v>
      </c>
      <c r="C777" t="s">
        <v>5</v>
      </c>
    </row>
    <row r="778" spans="1:3" x14ac:dyDescent="0.2">
      <c r="A778" t="s">
        <v>746</v>
      </c>
      <c r="B778" t="s">
        <v>973</v>
      </c>
      <c r="C778" t="s">
        <v>5</v>
      </c>
    </row>
    <row r="779" spans="1:3" x14ac:dyDescent="0.2">
      <c r="A779" t="s">
        <v>957</v>
      </c>
      <c r="B779" t="s">
        <v>957</v>
      </c>
      <c r="C779" t="s">
        <v>5</v>
      </c>
    </row>
    <row r="780" spans="1:3" x14ac:dyDescent="0.2">
      <c r="A780" t="s">
        <v>959</v>
      </c>
      <c r="B780" t="s">
        <v>1032</v>
      </c>
      <c r="C780" t="s">
        <v>5</v>
      </c>
    </row>
    <row r="781" spans="1:3" x14ac:dyDescent="0.2">
      <c r="A781" t="s">
        <v>961</v>
      </c>
      <c r="B781" t="s">
        <v>999</v>
      </c>
      <c r="C781" t="s">
        <v>5</v>
      </c>
    </row>
    <row r="782" spans="1:3" x14ac:dyDescent="0.2">
      <c r="A782" t="s">
        <v>969</v>
      </c>
      <c r="B782" t="s">
        <v>1044</v>
      </c>
      <c r="C782" t="s">
        <v>5</v>
      </c>
    </row>
    <row r="783" spans="1:3" x14ac:dyDescent="0.2">
      <c r="A783" t="s">
        <v>993</v>
      </c>
      <c r="B783" t="s">
        <v>1026</v>
      </c>
      <c r="C783" t="s">
        <v>5</v>
      </c>
    </row>
    <row r="784" spans="1:3" x14ac:dyDescent="0.2">
      <c r="A784" t="s">
        <v>993</v>
      </c>
      <c r="B784" t="s">
        <v>1041</v>
      </c>
      <c r="C784" t="s">
        <v>5</v>
      </c>
    </row>
    <row r="785" spans="1:3" x14ac:dyDescent="0.2">
      <c r="A785" t="s">
        <v>994</v>
      </c>
      <c r="B785" t="s">
        <v>994</v>
      </c>
      <c r="C785" t="s">
        <v>5</v>
      </c>
    </row>
    <row r="786" spans="1:3" x14ac:dyDescent="0.2">
      <c r="A786" t="s">
        <v>1002</v>
      </c>
      <c r="B786" t="s">
        <v>1033</v>
      </c>
      <c r="C786" t="s">
        <v>5</v>
      </c>
    </row>
    <row r="787" spans="1:3" x14ac:dyDescent="0.2">
      <c r="A787" t="s">
        <v>1026</v>
      </c>
      <c r="B787" t="s">
        <v>1041</v>
      </c>
      <c r="C787" t="s">
        <v>5</v>
      </c>
    </row>
    <row r="788" spans="1:3" x14ac:dyDescent="0.2">
      <c r="A788" t="s">
        <v>1033</v>
      </c>
      <c r="B788" t="s">
        <v>1033</v>
      </c>
      <c r="C788" t="s">
        <v>5</v>
      </c>
    </row>
    <row r="789" spans="1:3" x14ac:dyDescent="0.2">
      <c r="A789" t="s">
        <v>1042</v>
      </c>
      <c r="B789" t="s">
        <v>994</v>
      </c>
      <c r="C789" t="s">
        <v>5</v>
      </c>
    </row>
    <row r="790" spans="1:3" x14ac:dyDescent="0.2">
      <c r="A790" t="s">
        <v>1568</v>
      </c>
      <c r="B790" t="s">
        <v>2185</v>
      </c>
      <c r="C790" t="s">
        <v>5</v>
      </c>
    </row>
    <row r="791" spans="1:3" x14ac:dyDescent="0.2">
      <c r="A791" t="s">
        <v>1570</v>
      </c>
      <c r="B791" t="s">
        <v>2055</v>
      </c>
      <c r="C791" t="s">
        <v>5</v>
      </c>
    </row>
    <row r="792" spans="1:3" x14ac:dyDescent="0.2">
      <c r="A792" t="s">
        <v>1693</v>
      </c>
      <c r="B792" t="s">
        <v>1714</v>
      </c>
      <c r="C792" t="s">
        <v>5</v>
      </c>
    </row>
    <row r="793" spans="1:3" x14ac:dyDescent="0.2">
      <c r="A793" t="s">
        <v>1697</v>
      </c>
      <c r="B793" t="s">
        <v>1718</v>
      </c>
      <c r="C793" t="s">
        <v>5</v>
      </c>
    </row>
    <row r="794" spans="1:3" x14ac:dyDescent="0.2">
      <c r="A794" t="s">
        <v>1760</v>
      </c>
      <c r="B794" t="s">
        <v>1778</v>
      </c>
      <c r="C794" t="s">
        <v>5</v>
      </c>
    </row>
    <row r="795" spans="1:3" x14ac:dyDescent="0.2">
      <c r="A795" t="s">
        <v>2160</v>
      </c>
      <c r="B795" t="s">
        <v>2190</v>
      </c>
      <c r="C795" t="s">
        <v>5</v>
      </c>
    </row>
    <row r="796" spans="1:3" x14ac:dyDescent="0.2">
      <c r="A796" t="s">
        <v>2176</v>
      </c>
      <c r="B796" t="s">
        <v>2193</v>
      </c>
      <c r="C796" t="s">
        <v>5</v>
      </c>
    </row>
    <row r="797" spans="1:3" x14ac:dyDescent="0.2">
      <c r="A797" t="s">
        <v>2373</v>
      </c>
      <c r="B797" t="s">
        <v>2498</v>
      </c>
      <c r="C797" t="s">
        <v>5</v>
      </c>
    </row>
    <row r="798" spans="1:3" x14ac:dyDescent="0.2">
      <c r="A798" t="s">
        <v>30</v>
      </c>
      <c r="B798" t="s">
        <v>2480</v>
      </c>
      <c r="C798" t="s">
        <v>6</v>
      </c>
    </row>
    <row r="799" spans="1:3" x14ac:dyDescent="0.2">
      <c r="A799" t="s">
        <v>36</v>
      </c>
      <c r="B799" t="s">
        <v>2371</v>
      </c>
      <c r="C799" t="s">
        <v>6</v>
      </c>
    </row>
    <row r="800" spans="1:3" x14ac:dyDescent="0.2">
      <c r="A800" t="s">
        <v>44</v>
      </c>
      <c r="B800" t="s">
        <v>2373</v>
      </c>
      <c r="C800" t="s">
        <v>6</v>
      </c>
    </row>
    <row r="801" spans="1:3" x14ac:dyDescent="0.2">
      <c r="A801" t="s">
        <v>44</v>
      </c>
      <c r="B801" t="s">
        <v>2498</v>
      </c>
      <c r="C801" t="s">
        <v>6</v>
      </c>
    </row>
    <row r="802" spans="1:3" x14ac:dyDescent="0.2">
      <c r="A802" t="s">
        <v>48</v>
      </c>
      <c r="B802" t="s">
        <v>2374</v>
      </c>
      <c r="C802" t="s">
        <v>6</v>
      </c>
    </row>
    <row r="803" spans="1:3" x14ac:dyDescent="0.2">
      <c r="A803" t="s">
        <v>50</v>
      </c>
      <c r="B803" t="s">
        <v>2375</v>
      </c>
      <c r="C803" t="s">
        <v>6</v>
      </c>
    </row>
    <row r="804" spans="1:3" x14ac:dyDescent="0.2">
      <c r="A804" t="s">
        <v>51</v>
      </c>
      <c r="B804" t="s">
        <v>1760</v>
      </c>
      <c r="C804" t="s">
        <v>6</v>
      </c>
    </row>
    <row r="805" spans="1:3" x14ac:dyDescent="0.2">
      <c r="A805" t="s">
        <v>51</v>
      </c>
      <c r="B805" t="s">
        <v>1778</v>
      </c>
      <c r="C805" t="s">
        <v>6</v>
      </c>
    </row>
    <row r="806" spans="1:3" x14ac:dyDescent="0.2">
      <c r="A806" t="s">
        <v>133</v>
      </c>
      <c r="B806" t="s">
        <v>2371</v>
      </c>
      <c r="C806" t="s">
        <v>6</v>
      </c>
    </row>
    <row r="807" spans="1:3" x14ac:dyDescent="0.2">
      <c r="A807" t="s">
        <v>145</v>
      </c>
      <c r="B807" t="s">
        <v>2497</v>
      </c>
      <c r="C807" t="s">
        <v>6</v>
      </c>
    </row>
    <row r="808" spans="1:3" x14ac:dyDescent="0.2">
      <c r="A808" t="s">
        <v>155</v>
      </c>
      <c r="B808" t="s">
        <v>2375</v>
      </c>
      <c r="C808" t="s">
        <v>6</v>
      </c>
    </row>
    <row r="809" spans="1:3" x14ac:dyDescent="0.2">
      <c r="A809" t="s">
        <v>225</v>
      </c>
      <c r="B809" t="s">
        <v>1783</v>
      </c>
      <c r="C809" t="s">
        <v>6</v>
      </c>
    </row>
    <row r="810" spans="1:3" x14ac:dyDescent="0.2">
      <c r="A810" t="s">
        <v>263</v>
      </c>
      <c r="B810" t="s">
        <v>1789</v>
      </c>
      <c r="C810" t="s">
        <v>6</v>
      </c>
    </row>
    <row r="811" spans="1:3" x14ac:dyDescent="0.2">
      <c r="A811" t="s">
        <v>279</v>
      </c>
      <c r="B811" t="s">
        <v>1815</v>
      </c>
      <c r="C811" t="s">
        <v>6</v>
      </c>
    </row>
    <row r="812" spans="1:3" x14ac:dyDescent="0.2">
      <c r="A812" t="s">
        <v>284</v>
      </c>
      <c r="B812" t="s">
        <v>2497</v>
      </c>
      <c r="C812" t="s">
        <v>6</v>
      </c>
    </row>
    <row r="813" spans="1:3" x14ac:dyDescent="0.2">
      <c r="A813" t="s">
        <v>291</v>
      </c>
      <c r="B813" t="s">
        <v>2373</v>
      </c>
      <c r="C813" t="s">
        <v>6</v>
      </c>
    </row>
    <row r="814" spans="1:3" x14ac:dyDescent="0.2">
      <c r="A814" t="s">
        <v>291</v>
      </c>
      <c r="B814" t="s">
        <v>2498</v>
      </c>
      <c r="C814" t="s">
        <v>6</v>
      </c>
    </row>
    <row r="815" spans="1:3" x14ac:dyDescent="0.2">
      <c r="A815" t="s">
        <v>301</v>
      </c>
      <c r="B815" t="s">
        <v>2502</v>
      </c>
      <c r="C815" t="s">
        <v>6</v>
      </c>
    </row>
    <row r="816" spans="1:3" x14ac:dyDescent="0.2">
      <c r="A816" t="s">
        <v>304</v>
      </c>
      <c r="B816" t="s">
        <v>1730</v>
      </c>
      <c r="C816" t="s">
        <v>6</v>
      </c>
    </row>
    <row r="817" spans="1:3" x14ac:dyDescent="0.2">
      <c r="A817" t="s">
        <v>378</v>
      </c>
      <c r="B817" t="s">
        <v>1588</v>
      </c>
      <c r="C817" t="s">
        <v>6</v>
      </c>
    </row>
    <row r="818" spans="1:3" x14ac:dyDescent="0.2">
      <c r="A818" t="s">
        <v>382</v>
      </c>
      <c r="B818" t="s">
        <v>1795</v>
      </c>
      <c r="C818" t="s">
        <v>6</v>
      </c>
    </row>
    <row r="819" spans="1:3" x14ac:dyDescent="0.2">
      <c r="A819" t="s">
        <v>387</v>
      </c>
      <c r="B819" t="s">
        <v>2497</v>
      </c>
      <c r="C819" t="s">
        <v>6</v>
      </c>
    </row>
    <row r="820" spans="1:3" x14ac:dyDescent="0.2">
      <c r="A820" t="s">
        <v>400</v>
      </c>
      <c r="B820" t="s">
        <v>2371</v>
      </c>
      <c r="C820" t="s">
        <v>6</v>
      </c>
    </row>
    <row r="821" spans="1:3" x14ac:dyDescent="0.2">
      <c r="A821" t="s">
        <v>466</v>
      </c>
      <c r="B821" t="s">
        <v>2502</v>
      </c>
      <c r="C821" t="s">
        <v>6</v>
      </c>
    </row>
    <row r="822" spans="1:3" x14ac:dyDescent="0.2">
      <c r="A822" t="s">
        <v>492</v>
      </c>
      <c r="B822" t="s">
        <v>2375</v>
      </c>
      <c r="C822" t="s">
        <v>6</v>
      </c>
    </row>
    <row r="823" spans="1:3" x14ac:dyDescent="0.2">
      <c r="A823" t="s">
        <v>569</v>
      </c>
      <c r="B823" t="s">
        <v>1579</v>
      </c>
      <c r="C823" t="s">
        <v>6</v>
      </c>
    </row>
    <row r="824" spans="1:3" x14ac:dyDescent="0.2">
      <c r="A824" s="8" t="s">
        <v>574</v>
      </c>
      <c r="B824" t="s">
        <v>1801</v>
      </c>
      <c r="C824" t="s">
        <v>6</v>
      </c>
    </row>
    <row r="825" spans="1:3" x14ac:dyDescent="0.2">
      <c r="A825" t="s">
        <v>606</v>
      </c>
      <c r="B825" t="s">
        <v>2373</v>
      </c>
      <c r="C825" t="s">
        <v>6</v>
      </c>
    </row>
    <row r="826" spans="1:3" x14ac:dyDescent="0.2">
      <c r="A826" t="s">
        <v>606</v>
      </c>
      <c r="B826" t="s">
        <v>2498</v>
      </c>
      <c r="C826" t="s">
        <v>6</v>
      </c>
    </row>
    <row r="827" spans="1:3" x14ac:dyDescent="0.2">
      <c r="A827" t="s">
        <v>626</v>
      </c>
      <c r="B827" t="s">
        <v>1740</v>
      </c>
      <c r="C827" t="s">
        <v>6</v>
      </c>
    </row>
    <row r="828" spans="1:3" x14ac:dyDescent="0.2">
      <c r="A828" t="s">
        <v>628</v>
      </c>
      <c r="B828" t="s">
        <v>1742</v>
      </c>
      <c r="C828" t="s">
        <v>6</v>
      </c>
    </row>
    <row r="829" spans="1:3" x14ac:dyDescent="0.2">
      <c r="A829" t="s">
        <v>630</v>
      </c>
      <c r="B829" t="s">
        <v>1744</v>
      </c>
      <c r="C829" t="s">
        <v>6</v>
      </c>
    </row>
    <row r="830" spans="1:3" x14ac:dyDescent="0.2">
      <c r="A830" t="s">
        <v>672</v>
      </c>
      <c r="B830" t="s">
        <v>2125</v>
      </c>
      <c r="C830" t="s">
        <v>6</v>
      </c>
    </row>
    <row r="831" spans="1:3" x14ac:dyDescent="0.2">
      <c r="A831" t="s">
        <v>683</v>
      </c>
      <c r="B831" t="s">
        <v>1791</v>
      </c>
      <c r="C831" t="s">
        <v>6</v>
      </c>
    </row>
    <row r="832" spans="1:3" x14ac:dyDescent="0.2">
      <c r="A832" t="s">
        <v>684</v>
      </c>
      <c r="B832" t="s">
        <v>1714</v>
      </c>
      <c r="C832" t="s">
        <v>6</v>
      </c>
    </row>
    <row r="833" spans="1:3" x14ac:dyDescent="0.2">
      <c r="A833" t="s">
        <v>684</v>
      </c>
      <c r="B833" t="s">
        <v>1693</v>
      </c>
      <c r="C833" t="s">
        <v>6</v>
      </c>
    </row>
    <row r="834" spans="1:3" x14ac:dyDescent="0.2">
      <c r="A834" t="s">
        <v>711</v>
      </c>
      <c r="B834" t="s">
        <v>1754</v>
      </c>
      <c r="C834" t="s">
        <v>6</v>
      </c>
    </row>
    <row r="835" spans="1:3" x14ac:dyDescent="0.2">
      <c r="A835" t="s">
        <v>712</v>
      </c>
      <c r="B835" t="s">
        <v>1752</v>
      </c>
      <c r="C835" t="s">
        <v>6</v>
      </c>
    </row>
    <row r="836" spans="1:3" x14ac:dyDescent="0.2">
      <c r="A836" t="s">
        <v>722</v>
      </c>
      <c r="B836" t="s">
        <v>1679</v>
      </c>
      <c r="C836" t="s">
        <v>6</v>
      </c>
    </row>
    <row r="837" spans="1:3" x14ac:dyDescent="0.2">
      <c r="A837" t="s">
        <v>752</v>
      </c>
      <c r="B837" t="s">
        <v>2375</v>
      </c>
      <c r="C837" t="s">
        <v>6</v>
      </c>
    </row>
    <row r="838" spans="1:3" x14ac:dyDescent="0.2">
      <c r="A838" t="s">
        <v>755</v>
      </c>
      <c r="B838" t="s">
        <v>1779</v>
      </c>
      <c r="C838" t="s">
        <v>6</v>
      </c>
    </row>
    <row r="839" spans="1:3" x14ac:dyDescent="0.2">
      <c r="A839" t="s">
        <v>759</v>
      </c>
      <c r="B839" t="s">
        <v>1677</v>
      </c>
      <c r="C839" t="s">
        <v>6</v>
      </c>
    </row>
    <row r="840" spans="1:3" x14ac:dyDescent="0.2">
      <c r="A840" t="s">
        <v>964</v>
      </c>
      <c r="B840" t="s">
        <v>2499</v>
      </c>
      <c r="C840" t="s">
        <v>6</v>
      </c>
    </row>
    <row r="841" spans="1:3" x14ac:dyDescent="0.2">
      <c r="A841" t="s">
        <v>969</v>
      </c>
      <c r="B841" t="s">
        <v>2373</v>
      </c>
      <c r="C841" t="s">
        <v>6</v>
      </c>
    </row>
    <row r="842" spans="1:3" x14ac:dyDescent="0.2">
      <c r="A842" t="s">
        <v>969</v>
      </c>
      <c r="B842" t="s">
        <v>2498</v>
      </c>
      <c r="C842" t="s">
        <v>6</v>
      </c>
    </row>
    <row r="843" spans="1:3" x14ac:dyDescent="0.2">
      <c r="A843" t="s">
        <v>980</v>
      </c>
      <c r="B843" t="s">
        <v>1789</v>
      </c>
      <c r="C843" t="s">
        <v>6</v>
      </c>
    </row>
    <row r="844" spans="1:3" x14ac:dyDescent="0.2">
      <c r="A844" t="s">
        <v>983</v>
      </c>
      <c r="B844" t="s">
        <v>1811</v>
      </c>
      <c r="C844" t="s">
        <v>6</v>
      </c>
    </row>
    <row r="845" spans="1:3" x14ac:dyDescent="0.2">
      <c r="A845" t="s">
        <v>1008</v>
      </c>
      <c r="B845" t="s">
        <v>1697</v>
      </c>
      <c r="C845" t="s">
        <v>6</v>
      </c>
    </row>
    <row r="846" spans="1:3" x14ac:dyDescent="0.2">
      <c r="A846" t="s">
        <v>1008</v>
      </c>
      <c r="B846" t="s">
        <v>1718</v>
      </c>
      <c r="C846" t="s">
        <v>6</v>
      </c>
    </row>
    <row r="847" spans="1:3" x14ac:dyDescent="0.2">
      <c r="A847" t="s">
        <v>1012</v>
      </c>
      <c r="B847" t="s">
        <v>1571</v>
      </c>
      <c r="C847" t="s">
        <v>6</v>
      </c>
    </row>
    <row r="848" spans="1:3" x14ac:dyDescent="0.2">
      <c r="A848" t="s">
        <v>1013</v>
      </c>
      <c r="B848" t="s">
        <v>2189</v>
      </c>
      <c r="C848" t="s">
        <v>6</v>
      </c>
    </row>
    <row r="849" spans="1:3" x14ac:dyDescent="0.2">
      <c r="A849" t="s">
        <v>1017</v>
      </c>
      <c r="B849" t="s">
        <v>1819</v>
      </c>
      <c r="C849" t="s">
        <v>6</v>
      </c>
    </row>
    <row r="850" spans="1:3" x14ac:dyDescent="0.2">
      <c r="A850" t="s">
        <v>1361</v>
      </c>
      <c r="B850" t="s">
        <v>1558</v>
      </c>
      <c r="C850" t="s">
        <v>6</v>
      </c>
    </row>
    <row r="851" spans="1:3" x14ac:dyDescent="0.2">
      <c r="A851" t="s">
        <v>1021</v>
      </c>
      <c r="B851" t="s">
        <v>1825</v>
      </c>
      <c r="C851" t="s">
        <v>6</v>
      </c>
    </row>
    <row r="852" spans="1:3" x14ac:dyDescent="0.2">
      <c r="A852" t="s">
        <v>1037</v>
      </c>
      <c r="B852" t="s">
        <v>1724</v>
      </c>
      <c r="C852" t="s">
        <v>6</v>
      </c>
    </row>
    <row r="853" spans="1:3" x14ac:dyDescent="0.2">
      <c r="A853" t="s">
        <v>1040</v>
      </c>
      <c r="B853" t="s">
        <v>2124</v>
      </c>
      <c r="C853" t="s">
        <v>6</v>
      </c>
    </row>
    <row r="854" spans="1:3" x14ac:dyDescent="0.2">
      <c r="A854" t="s">
        <v>1044</v>
      </c>
      <c r="B854" t="s">
        <v>2373</v>
      </c>
      <c r="C854" t="s">
        <v>6</v>
      </c>
    </row>
    <row r="855" spans="1:3" x14ac:dyDescent="0.2">
      <c r="A855" t="s">
        <v>1044</v>
      </c>
      <c r="B855" t="s">
        <v>2498</v>
      </c>
      <c r="C855" t="s">
        <v>6</v>
      </c>
    </row>
    <row r="856" spans="1:3" x14ac:dyDescent="0.2">
      <c r="A856" t="s">
        <v>1045</v>
      </c>
      <c r="B856" t="s">
        <v>2374</v>
      </c>
      <c r="C856" t="s">
        <v>6</v>
      </c>
    </row>
    <row r="857" spans="1:3" x14ac:dyDescent="0.2">
      <c r="A857" t="s">
        <v>1048</v>
      </c>
      <c r="B857" t="s">
        <v>1748</v>
      </c>
      <c r="C857" t="s">
        <v>6</v>
      </c>
    </row>
    <row r="858" spans="1:3" x14ac:dyDescent="0.2">
      <c r="A858" t="s">
        <v>1665</v>
      </c>
      <c r="B858" t="s">
        <v>2481</v>
      </c>
      <c r="C858" t="s">
        <v>6</v>
      </c>
    </row>
    <row r="859" spans="1:3" x14ac:dyDescent="0.2">
      <c r="A859" t="s">
        <v>1734</v>
      </c>
      <c r="B859" t="s">
        <v>2503</v>
      </c>
      <c r="C859" t="s">
        <v>6</v>
      </c>
    </row>
    <row r="860" spans="1:3" x14ac:dyDescent="0.2">
      <c r="A860" t="s">
        <v>2054</v>
      </c>
      <c r="B860" t="s">
        <v>2491</v>
      </c>
      <c r="C860" t="s">
        <v>6</v>
      </c>
    </row>
    <row r="861" spans="1:3" x14ac:dyDescent="0.2">
      <c r="A861" t="s">
        <v>2201</v>
      </c>
      <c r="B861" t="s">
        <v>2494</v>
      </c>
      <c r="C861" t="s">
        <v>6</v>
      </c>
    </row>
    <row r="862" spans="1:3" x14ac:dyDescent="0.2">
      <c r="A862" t="s">
        <v>2370</v>
      </c>
      <c r="B862" t="s">
        <v>30</v>
      </c>
      <c r="C862" t="s">
        <v>6</v>
      </c>
    </row>
    <row r="863" spans="1:3" x14ac:dyDescent="0.2">
      <c r="A863" t="s">
        <v>2370</v>
      </c>
      <c r="B863" t="s">
        <v>1665</v>
      </c>
      <c r="C863" t="s">
        <v>6</v>
      </c>
    </row>
    <row r="864" spans="1:3" x14ac:dyDescent="0.2">
      <c r="A864" t="s">
        <v>2497</v>
      </c>
      <c r="B864" t="s">
        <v>144</v>
      </c>
      <c r="C864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551"/>
  <sheetViews>
    <sheetView topLeftCell="A480" zoomScale="70" zoomScaleNormal="70" workbookViewId="0">
      <selection activeCell="D52" sqref="D52"/>
    </sheetView>
  </sheetViews>
  <sheetFormatPr baseColWidth="10" defaultRowHeight="12.75" x14ac:dyDescent="0.2"/>
  <cols>
    <col min="2" max="2" width="35.85546875" bestFit="1" customWidth="1"/>
    <col min="3" max="4" width="12" bestFit="1" customWidth="1"/>
    <col min="5" max="5" width="172.85546875" bestFit="1" customWidth="1"/>
  </cols>
  <sheetData>
    <row r="1" spans="1:5" x14ac:dyDescent="0.2">
      <c r="A1" t="s">
        <v>0</v>
      </c>
      <c r="B1" t="s">
        <v>3</v>
      </c>
      <c r="C1" t="s">
        <v>1370</v>
      </c>
      <c r="D1" t="s">
        <v>1371</v>
      </c>
      <c r="E1" t="s">
        <v>1469</v>
      </c>
    </row>
    <row r="2" spans="1:5" x14ac:dyDescent="0.2">
      <c r="A2" t="s">
        <v>2704</v>
      </c>
      <c r="B2" t="s">
        <v>8</v>
      </c>
      <c r="C2">
        <v>48.89217114825</v>
      </c>
      <c r="D2">
        <v>2.2370669264150003</v>
      </c>
      <c r="E2" t="s">
        <v>3193</v>
      </c>
    </row>
    <row r="3" spans="1:5" x14ac:dyDescent="0.2">
      <c r="A3" t="s">
        <v>2705</v>
      </c>
      <c r="B3" t="s">
        <v>9</v>
      </c>
      <c r="C3">
        <v>48.888631217799997</v>
      </c>
      <c r="D3">
        <v>2.2479324353200001</v>
      </c>
      <c r="E3" t="s">
        <v>31</v>
      </c>
    </row>
    <row r="4" spans="1:5" x14ac:dyDescent="0.2">
      <c r="A4" t="s">
        <v>2706</v>
      </c>
      <c r="B4" t="s">
        <v>10</v>
      </c>
      <c r="C4">
        <v>48.8847082013</v>
      </c>
      <c r="D4">
        <v>2.2605150778900001</v>
      </c>
      <c r="E4" t="s">
        <v>32</v>
      </c>
    </row>
    <row r="5" spans="1:5" x14ac:dyDescent="0.2">
      <c r="A5" t="s">
        <v>2707</v>
      </c>
      <c r="B5" t="s">
        <v>11</v>
      </c>
      <c r="C5">
        <v>48.881191520599998</v>
      </c>
      <c r="D5">
        <v>2.27168672105</v>
      </c>
      <c r="E5" t="s">
        <v>33</v>
      </c>
    </row>
    <row r="6" spans="1:5" x14ac:dyDescent="0.2">
      <c r="A6" t="s">
        <v>2708</v>
      </c>
      <c r="B6" t="s">
        <v>12</v>
      </c>
      <c r="C6">
        <v>48.8775512518</v>
      </c>
      <c r="D6">
        <v>2.28316224223</v>
      </c>
      <c r="E6" t="s">
        <v>34</v>
      </c>
    </row>
    <row r="7" spans="1:5" x14ac:dyDescent="0.2">
      <c r="A7" t="s">
        <v>2709</v>
      </c>
      <c r="B7" t="s">
        <v>13</v>
      </c>
      <c r="C7">
        <v>48.875594049900002</v>
      </c>
      <c r="D7">
        <v>2.2893225896099998</v>
      </c>
      <c r="E7" t="s">
        <v>35</v>
      </c>
    </row>
    <row r="8" spans="1:5" x14ac:dyDescent="0.2">
      <c r="A8" t="s">
        <v>2710</v>
      </c>
      <c r="B8" t="s">
        <v>96</v>
      </c>
      <c r="C8">
        <v>48.874526869362498</v>
      </c>
      <c r="D8">
        <v>2.2950693949462497</v>
      </c>
      <c r="E8" t="s">
        <v>3194</v>
      </c>
    </row>
    <row r="9" spans="1:5" x14ac:dyDescent="0.2">
      <c r="A9" t="s">
        <v>2711</v>
      </c>
      <c r="B9" t="s">
        <v>15</v>
      </c>
      <c r="C9">
        <v>48.8720238095</v>
      </c>
      <c r="D9">
        <v>2.30056045125</v>
      </c>
      <c r="E9" t="s">
        <v>37</v>
      </c>
    </row>
    <row r="10" spans="1:5" x14ac:dyDescent="0.2">
      <c r="A10" t="s">
        <v>2712</v>
      </c>
      <c r="B10" t="s">
        <v>16</v>
      </c>
      <c r="C10">
        <v>48.869254033800004</v>
      </c>
      <c r="D10">
        <v>2.3084879753949998</v>
      </c>
      <c r="E10" t="s">
        <v>1488</v>
      </c>
    </row>
    <row r="11" spans="1:5" x14ac:dyDescent="0.2">
      <c r="A11" t="s">
        <v>2713</v>
      </c>
      <c r="B11" t="s">
        <v>95</v>
      </c>
      <c r="C11">
        <v>48.867753745050003</v>
      </c>
      <c r="D11">
        <v>2.313719839535</v>
      </c>
      <c r="E11" t="s">
        <v>1515</v>
      </c>
    </row>
    <row r="12" spans="1:5" x14ac:dyDescent="0.2">
      <c r="A12" t="s">
        <v>2714</v>
      </c>
      <c r="B12" t="s">
        <v>17</v>
      </c>
      <c r="C12">
        <v>48.866359600850004</v>
      </c>
      <c r="D12">
        <v>2.3228444056624999</v>
      </c>
      <c r="E12" t="s">
        <v>1510</v>
      </c>
    </row>
    <row r="13" spans="1:5" x14ac:dyDescent="0.2">
      <c r="A13" t="s">
        <v>2715</v>
      </c>
      <c r="B13" t="s">
        <v>18</v>
      </c>
      <c r="C13">
        <v>48.864343778699997</v>
      </c>
      <c r="D13">
        <v>2.3301298771100001</v>
      </c>
      <c r="E13" t="s">
        <v>41</v>
      </c>
    </row>
    <row r="14" spans="1:5" x14ac:dyDescent="0.2">
      <c r="A14" t="s">
        <v>2716</v>
      </c>
      <c r="B14" t="s">
        <v>97</v>
      </c>
      <c r="C14">
        <v>48.862588851799998</v>
      </c>
      <c r="D14">
        <v>2.336687429955</v>
      </c>
      <c r="E14" t="s">
        <v>1480</v>
      </c>
    </row>
    <row r="15" spans="1:5" x14ac:dyDescent="0.2">
      <c r="A15" t="s">
        <v>2717</v>
      </c>
      <c r="B15" t="s">
        <v>19</v>
      </c>
      <c r="C15">
        <v>48.860806291300001</v>
      </c>
      <c r="D15">
        <v>2.3411085916299998</v>
      </c>
      <c r="E15" t="s">
        <v>43</v>
      </c>
    </row>
    <row r="16" spans="1:5" x14ac:dyDescent="0.2">
      <c r="A16" t="s">
        <v>2718</v>
      </c>
      <c r="B16" t="s">
        <v>20</v>
      </c>
      <c r="C16">
        <v>48.860791666828128</v>
      </c>
      <c r="D16">
        <v>2.3472452109112503</v>
      </c>
      <c r="E16" t="s">
        <v>3235</v>
      </c>
    </row>
    <row r="17" spans="1:5" x14ac:dyDescent="0.2">
      <c r="A17" t="s">
        <v>2719</v>
      </c>
      <c r="B17" t="s">
        <v>21</v>
      </c>
      <c r="C17">
        <v>48.857477982500001</v>
      </c>
      <c r="D17">
        <v>2.3515775629900002</v>
      </c>
      <c r="E17" t="s">
        <v>45</v>
      </c>
    </row>
    <row r="18" spans="1:5" x14ac:dyDescent="0.2">
      <c r="A18" t="s">
        <v>2720</v>
      </c>
      <c r="B18" t="s">
        <v>22</v>
      </c>
      <c r="C18">
        <v>48.855236252799997</v>
      </c>
      <c r="D18">
        <v>2.3609564886599999</v>
      </c>
      <c r="E18" t="s">
        <v>46</v>
      </c>
    </row>
    <row r="19" spans="1:5" x14ac:dyDescent="0.2">
      <c r="A19" t="s">
        <v>2721</v>
      </c>
      <c r="B19" t="s">
        <v>23</v>
      </c>
      <c r="C19">
        <v>48.853198810075</v>
      </c>
      <c r="D19">
        <v>2.3692710741500003</v>
      </c>
      <c r="E19" t="s">
        <v>1484</v>
      </c>
    </row>
    <row r="20" spans="1:5" x14ac:dyDescent="0.2">
      <c r="A20" s="8" t="s">
        <v>2722</v>
      </c>
      <c r="B20" t="s">
        <v>24</v>
      </c>
      <c r="C20">
        <v>48.844572982800003</v>
      </c>
      <c r="D20">
        <v>2.3736242730575001</v>
      </c>
      <c r="E20" t="s">
        <v>3196</v>
      </c>
    </row>
    <row r="21" spans="1:5" x14ac:dyDescent="0.2">
      <c r="A21" t="s">
        <v>2723</v>
      </c>
      <c r="B21" t="s">
        <v>98</v>
      </c>
      <c r="C21">
        <v>48.847216253699997</v>
      </c>
      <c r="D21">
        <v>2.3866834742299998</v>
      </c>
      <c r="E21" t="s">
        <v>1485</v>
      </c>
    </row>
    <row r="22" spans="1:5" x14ac:dyDescent="0.2">
      <c r="A22" t="s">
        <v>2724</v>
      </c>
      <c r="B22" t="s">
        <v>25</v>
      </c>
      <c r="C22">
        <v>48.848279929656243</v>
      </c>
      <c r="D22">
        <v>2.3957279536662499</v>
      </c>
      <c r="E22" t="s">
        <v>3197</v>
      </c>
    </row>
    <row r="23" spans="1:5" x14ac:dyDescent="0.2">
      <c r="A23" t="s">
        <v>2725</v>
      </c>
      <c r="B23" t="s">
        <v>26</v>
      </c>
      <c r="C23">
        <v>48.847223602850001</v>
      </c>
      <c r="D23">
        <v>2.4097509776425001</v>
      </c>
      <c r="E23" t="s">
        <v>2302</v>
      </c>
    </row>
    <row r="24" spans="1:5" x14ac:dyDescent="0.2">
      <c r="A24" t="s">
        <v>2726</v>
      </c>
      <c r="B24" t="s">
        <v>27</v>
      </c>
      <c r="C24">
        <v>48.846356988899998</v>
      </c>
      <c r="D24">
        <v>2.4194799003699998</v>
      </c>
      <c r="E24" t="s">
        <v>52</v>
      </c>
    </row>
    <row r="25" spans="1:5" x14ac:dyDescent="0.2">
      <c r="A25" t="s">
        <v>2727</v>
      </c>
      <c r="B25" t="s">
        <v>28</v>
      </c>
      <c r="C25">
        <v>48.845470707600001</v>
      </c>
      <c r="D25">
        <v>2.4292051663500001</v>
      </c>
      <c r="E25" t="s">
        <v>53</v>
      </c>
    </row>
    <row r="26" spans="1:5" x14ac:dyDescent="0.2">
      <c r="A26" t="s">
        <v>2728</v>
      </c>
      <c r="B26" t="s">
        <v>29</v>
      </c>
      <c r="C26">
        <v>48.844456394600002</v>
      </c>
      <c r="D26">
        <v>2.4404399780600001</v>
      </c>
      <c r="E26" t="s">
        <v>54</v>
      </c>
    </row>
    <row r="27" spans="1:5" x14ac:dyDescent="0.2">
      <c r="A27" t="s">
        <v>2729</v>
      </c>
      <c r="B27" t="s">
        <v>108</v>
      </c>
      <c r="C27">
        <v>48.871466578099998</v>
      </c>
      <c r="D27">
        <v>2.2770830170499998</v>
      </c>
      <c r="E27" t="s">
        <v>131</v>
      </c>
    </row>
    <row r="28" spans="1:5" x14ac:dyDescent="0.2">
      <c r="A28" t="s">
        <v>2730</v>
      </c>
      <c r="B28" t="s">
        <v>109</v>
      </c>
      <c r="C28">
        <v>48.869798556500001</v>
      </c>
      <c r="D28">
        <v>2.2853350946900002</v>
      </c>
      <c r="E28" t="s">
        <v>132</v>
      </c>
    </row>
    <row r="29" spans="1:5" x14ac:dyDescent="0.2">
      <c r="A29" t="s">
        <v>2731</v>
      </c>
      <c r="B29" t="s">
        <v>110</v>
      </c>
      <c r="C29">
        <v>48.877972701399997</v>
      </c>
      <c r="D29">
        <v>2.2983103751199998</v>
      </c>
      <c r="E29" t="s">
        <v>134</v>
      </c>
    </row>
    <row r="30" spans="1:5" x14ac:dyDescent="0.2">
      <c r="A30" t="s">
        <v>2732</v>
      </c>
      <c r="B30" t="s">
        <v>111</v>
      </c>
      <c r="C30">
        <v>48.879214134199998</v>
      </c>
      <c r="D30">
        <v>2.3035287253700001</v>
      </c>
      <c r="E30" t="s">
        <v>135</v>
      </c>
    </row>
    <row r="31" spans="1:5" x14ac:dyDescent="0.2">
      <c r="A31" t="s">
        <v>2733</v>
      </c>
      <c r="B31" t="s">
        <v>112</v>
      </c>
      <c r="C31">
        <v>48.880449456100003</v>
      </c>
      <c r="D31">
        <v>2.3094511679899998</v>
      </c>
      <c r="E31" t="s">
        <v>136</v>
      </c>
    </row>
    <row r="32" spans="1:5" x14ac:dyDescent="0.2">
      <c r="A32" t="s">
        <v>2734</v>
      </c>
      <c r="B32" t="s">
        <v>113</v>
      </c>
      <c r="C32">
        <v>48.881150028500002</v>
      </c>
      <c r="D32">
        <v>2.31517662622</v>
      </c>
      <c r="E32" t="s">
        <v>1470</v>
      </c>
    </row>
    <row r="33" spans="1:5" x14ac:dyDescent="0.2">
      <c r="A33" t="s">
        <v>2735</v>
      </c>
      <c r="B33" t="s">
        <v>114</v>
      </c>
      <c r="C33">
        <v>48.882226900799999</v>
      </c>
      <c r="D33">
        <v>2.3212749267700001</v>
      </c>
      <c r="E33" t="s">
        <v>138</v>
      </c>
    </row>
    <row r="34" spans="1:5" x14ac:dyDescent="0.2">
      <c r="A34" t="s">
        <v>2736</v>
      </c>
      <c r="B34" t="s">
        <v>115</v>
      </c>
      <c r="C34">
        <v>48.883709760100004</v>
      </c>
      <c r="D34">
        <v>2.3275414840300002</v>
      </c>
      <c r="E34" t="s">
        <v>1513</v>
      </c>
    </row>
    <row r="35" spans="1:5" x14ac:dyDescent="0.2">
      <c r="A35" t="s">
        <v>2737</v>
      </c>
      <c r="B35" t="s">
        <v>116</v>
      </c>
      <c r="C35">
        <v>48.883958573500003</v>
      </c>
      <c r="D35">
        <v>2.3319265908900002</v>
      </c>
      <c r="E35" t="s">
        <v>140</v>
      </c>
    </row>
    <row r="36" spans="1:5" x14ac:dyDescent="0.2">
      <c r="A36" t="s">
        <v>2738</v>
      </c>
      <c r="B36" t="s">
        <v>117</v>
      </c>
      <c r="C36">
        <v>48.882454768149998</v>
      </c>
      <c r="D36">
        <v>2.3371882365400003</v>
      </c>
      <c r="E36" t="s">
        <v>1509</v>
      </c>
    </row>
    <row r="37" spans="1:5" x14ac:dyDescent="0.2">
      <c r="A37" t="s">
        <v>2739</v>
      </c>
      <c r="B37" t="s">
        <v>118</v>
      </c>
      <c r="C37">
        <v>48.882868647599999</v>
      </c>
      <c r="D37">
        <v>2.3441306337199999</v>
      </c>
      <c r="E37" t="s">
        <v>142</v>
      </c>
    </row>
    <row r="38" spans="1:5" x14ac:dyDescent="0.2">
      <c r="A38" t="s">
        <v>2740</v>
      </c>
      <c r="B38" t="s">
        <v>119</v>
      </c>
      <c r="C38">
        <v>48.88362006525</v>
      </c>
      <c r="D38">
        <v>2.3501937221700002</v>
      </c>
      <c r="E38" t="s">
        <v>1473</v>
      </c>
    </row>
    <row r="39" spans="1:5" x14ac:dyDescent="0.2">
      <c r="A39" t="s">
        <v>2741</v>
      </c>
      <c r="B39" t="s">
        <v>120</v>
      </c>
      <c r="C39">
        <v>48.884398795199999</v>
      </c>
      <c r="D39">
        <v>2.3604913185299998</v>
      </c>
      <c r="E39" t="s">
        <v>144</v>
      </c>
    </row>
    <row r="40" spans="1:5" x14ac:dyDescent="0.2">
      <c r="A40" t="s">
        <v>2742</v>
      </c>
      <c r="B40" t="s">
        <v>121</v>
      </c>
      <c r="C40">
        <v>48.884367530375002</v>
      </c>
      <c r="D40">
        <v>2.3676397867075001</v>
      </c>
      <c r="E40" t="s">
        <v>1478</v>
      </c>
    </row>
    <row r="41" spans="1:5" x14ac:dyDescent="0.2">
      <c r="A41" t="s">
        <v>2743</v>
      </c>
      <c r="B41" t="s">
        <v>122</v>
      </c>
      <c r="C41">
        <v>48.882394134625002</v>
      </c>
      <c r="D41">
        <v>2.3703948727224997</v>
      </c>
      <c r="E41" t="s">
        <v>1483</v>
      </c>
    </row>
    <row r="42" spans="1:5" x14ac:dyDescent="0.2">
      <c r="A42" t="s">
        <v>2744</v>
      </c>
      <c r="B42" t="s">
        <v>123</v>
      </c>
      <c r="C42">
        <v>48.877610187400002</v>
      </c>
      <c r="D42">
        <v>2.3708113953100001</v>
      </c>
      <c r="E42" t="s">
        <v>147</v>
      </c>
    </row>
    <row r="43" spans="1:5" x14ac:dyDescent="0.2">
      <c r="A43" t="s">
        <v>2745</v>
      </c>
      <c r="B43" t="s">
        <v>124</v>
      </c>
      <c r="C43">
        <v>48.872079453799998</v>
      </c>
      <c r="D43">
        <v>2.3766479137349998</v>
      </c>
      <c r="E43" t="s">
        <v>1505</v>
      </c>
    </row>
    <row r="44" spans="1:5" x14ac:dyDescent="0.2">
      <c r="A44" t="s">
        <v>2746</v>
      </c>
      <c r="B44" t="s">
        <v>125</v>
      </c>
      <c r="C44">
        <v>48.869091162899998</v>
      </c>
      <c r="D44">
        <v>2.3805425859899998</v>
      </c>
      <c r="E44" t="s">
        <v>149</v>
      </c>
    </row>
    <row r="45" spans="1:5" x14ac:dyDescent="0.2">
      <c r="A45" t="s">
        <v>2747</v>
      </c>
      <c r="B45" t="s">
        <v>126</v>
      </c>
      <c r="C45">
        <v>48.866800035099999</v>
      </c>
      <c r="D45">
        <v>2.3833832504600001</v>
      </c>
      <c r="E45" t="s">
        <v>150</v>
      </c>
    </row>
    <row r="46" spans="1:5" x14ac:dyDescent="0.2">
      <c r="A46" t="s">
        <v>2748</v>
      </c>
      <c r="B46" t="s">
        <v>127</v>
      </c>
      <c r="C46">
        <v>48.86288861685</v>
      </c>
      <c r="D46">
        <v>2.3867448687400001</v>
      </c>
      <c r="E46" t="s">
        <v>1471</v>
      </c>
    </row>
    <row r="47" spans="1:5" x14ac:dyDescent="0.2">
      <c r="A47" t="s">
        <v>2749</v>
      </c>
      <c r="B47" t="s">
        <v>128</v>
      </c>
      <c r="C47">
        <v>48.858466549399999</v>
      </c>
      <c r="D47">
        <v>2.3897298523499999</v>
      </c>
      <c r="E47" t="s">
        <v>152</v>
      </c>
    </row>
    <row r="48" spans="1:5" x14ac:dyDescent="0.2">
      <c r="A48" t="s">
        <v>2750</v>
      </c>
      <c r="B48" t="s">
        <v>129</v>
      </c>
      <c r="C48">
        <v>48.856377357200003</v>
      </c>
      <c r="D48">
        <v>2.3945619445599999</v>
      </c>
      <c r="E48" t="s">
        <v>153</v>
      </c>
    </row>
    <row r="49" spans="1:5" x14ac:dyDescent="0.2">
      <c r="A49" t="s">
        <v>2751</v>
      </c>
      <c r="B49" t="s">
        <v>130</v>
      </c>
      <c r="C49">
        <v>48.851510278200003</v>
      </c>
      <c r="D49">
        <v>2.3983023442700002</v>
      </c>
      <c r="E49" t="s">
        <v>154</v>
      </c>
    </row>
    <row r="50" spans="1:5" x14ac:dyDescent="0.2">
      <c r="A50" t="s">
        <v>2752</v>
      </c>
      <c r="B50" t="s">
        <v>227</v>
      </c>
      <c r="C50">
        <v>48.897821067099997</v>
      </c>
      <c r="D50">
        <v>2.2798095866899999</v>
      </c>
      <c r="E50" t="s">
        <v>202</v>
      </c>
    </row>
    <row r="51" spans="1:5" x14ac:dyDescent="0.2">
      <c r="A51" s="8" t="s">
        <v>2753</v>
      </c>
      <c r="B51" t="s">
        <v>228</v>
      </c>
      <c r="C51">
        <v>48.892082786000003</v>
      </c>
      <c r="D51">
        <v>2.2850095027499999</v>
      </c>
      <c r="E51" t="s">
        <v>203</v>
      </c>
    </row>
    <row r="52" spans="1:5" x14ac:dyDescent="0.2">
      <c r="A52" t="s">
        <v>2754</v>
      </c>
      <c r="B52" t="s">
        <v>229</v>
      </c>
      <c r="C52">
        <v>48.888706019799997</v>
      </c>
      <c r="D52">
        <v>2.2880836330499998</v>
      </c>
      <c r="E52" t="s">
        <v>204</v>
      </c>
    </row>
    <row r="53" spans="1:5" x14ac:dyDescent="0.2">
      <c r="A53" t="s">
        <v>2755</v>
      </c>
      <c r="B53" t="s">
        <v>230</v>
      </c>
      <c r="C53">
        <v>48.885793105200001</v>
      </c>
      <c r="D53">
        <v>2.2925823141000001</v>
      </c>
      <c r="E53" t="s">
        <v>205</v>
      </c>
    </row>
    <row r="54" spans="1:5" x14ac:dyDescent="0.2">
      <c r="A54" t="s">
        <v>2756</v>
      </c>
      <c r="B54" t="s">
        <v>231</v>
      </c>
      <c r="C54">
        <v>48.884896255199997</v>
      </c>
      <c r="D54">
        <v>2.2977243464799999</v>
      </c>
      <c r="E54" t="s">
        <v>206</v>
      </c>
    </row>
    <row r="55" spans="1:5" x14ac:dyDescent="0.2">
      <c r="A55" t="s">
        <v>2757</v>
      </c>
      <c r="B55" t="s">
        <v>232</v>
      </c>
      <c r="C55">
        <v>48.883809201200002</v>
      </c>
      <c r="D55">
        <v>2.3046744405299999</v>
      </c>
      <c r="E55" t="s">
        <v>207</v>
      </c>
    </row>
    <row r="56" spans="1:5" x14ac:dyDescent="0.2">
      <c r="A56" t="s">
        <v>2758</v>
      </c>
      <c r="B56" t="s">
        <v>233</v>
      </c>
      <c r="C56">
        <v>48.882891917499997</v>
      </c>
      <c r="D56">
        <v>2.30905226455</v>
      </c>
      <c r="E56" t="s">
        <v>208</v>
      </c>
    </row>
    <row r="57" spans="1:5" x14ac:dyDescent="0.2">
      <c r="A57" t="s">
        <v>2759</v>
      </c>
      <c r="B57" t="s">
        <v>234</v>
      </c>
      <c r="C57">
        <v>48.8787703685</v>
      </c>
      <c r="D57">
        <v>2.3222652131200001</v>
      </c>
      <c r="E57" t="s">
        <v>210</v>
      </c>
    </row>
    <row r="58" spans="1:5" x14ac:dyDescent="0.2">
      <c r="A58" t="s">
        <v>2760</v>
      </c>
      <c r="B58" t="s">
        <v>235</v>
      </c>
      <c r="C58">
        <v>48.874163579587503</v>
      </c>
      <c r="D58">
        <v>2.331780485895</v>
      </c>
      <c r="E58" t="s">
        <v>1519</v>
      </c>
    </row>
    <row r="59" spans="1:5" x14ac:dyDescent="0.2">
      <c r="A59" t="s">
        <v>2761</v>
      </c>
      <c r="B59" t="s">
        <v>236</v>
      </c>
      <c r="C59">
        <v>48.873613398149999</v>
      </c>
      <c r="D59">
        <v>2.3276192449949997</v>
      </c>
      <c r="E59" t="s">
        <v>1489</v>
      </c>
    </row>
    <row r="60" spans="1:5" x14ac:dyDescent="0.2">
      <c r="A60" t="s">
        <v>2762</v>
      </c>
      <c r="B60" t="s">
        <v>237</v>
      </c>
      <c r="C60">
        <v>48.871423991425004</v>
      </c>
      <c r="D60">
        <v>2.3310478513412498</v>
      </c>
      <c r="E60" s="8" t="s">
        <v>3195</v>
      </c>
    </row>
    <row r="61" spans="1:5" x14ac:dyDescent="0.2">
      <c r="A61" t="s">
        <v>2763</v>
      </c>
      <c r="B61" t="s">
        <v>238</v>
      </c>
      <c r="C61">
        <v>48.869585243499998</v>
      </c>
      <c r="D61">
        <v>2.3362188475200001</v>
      </c>
      <c r="E61" t="s">
        <v>214</v>
      </c>
    </row>
    <row r="62" spans="1:5" x14ac:dyDescent="0.2">
      <c r="A62" t="s">
        <v>2764</v>
      </c>
      <c r="B62" t="s">
        <v>239</v>
      </c>
      <c r="C62">
        <v>48.868695977800002</v>
      </c>
      <c r="D62">
        <v>2.3407207236700001</v>
      </c>
      <c r="E62" t="s">
        <v>215</v>
      </c>
    </row>
    <row r="63" spans="1:5" x14ac:dyDescent="0.2">
      <c r="A63" t="s">
        <v>2765</v>
      </c>
      <c r="B63" t="s">
        <v>240</v>
      </c>
      <c r="C63">
        <v>48.867309474999999</v>
      </c>
      <c r="D63">
        <v>2.34751621328</v>
      </c>
      <c r="E63" t="s">
        <v>216</v>
      </c>
    </row>
    <row r="64" spans="1:5" x14ac:dyDescent="0.2">
      <c r="A64" t="s">
        <v>2766</v>
      </c>
      <c r="B64" t="s">
        <v>241</v>
      </c>
      <c r="C64">
        <v>48.866204994200004</v>
      </c>
      <c r="D64">
        <v>2.3522640310799998</v>
      </c>
      <c r="E64" t="s">
        <v>1474</v>
      </c>
    </row>
    <row r="65" spans="1:5" x14ac:dyDescent="0.2">
      <c r="A65" t="s">
        <v>2767</v>
      </c>
      <c r="B65" t="s">
        <v>242</v>
      </c>
      <c r="C65">
        <v>48.865454594650004</v>
      </c>
      <c r="D65">
        <v>2.3567333129900003</v>
      </c>
      <c r="E65" t="s">
        <v>1503</v>
      </c>
    </row>
    <row r="66" spans="1:5" x14ac:dyDescent="0.2">
      <c r="A66" t="s">
        <v>2768</v>
      </c>
      <c r="B66" t="s">
        <v>243</v>
      </c>
      <c r="C66">
        <v>48.8666826802</v>
      </c>
      <c r="D66">
        <v>2.3615415320699999</v>
      </c>
      <c r="E66" t="s">
        <v>219</v>
      </c>
    </row>
    <row r="67" spans="1:5" x14ac:dyDescent="0.2">
      <c r="A67" t="s">
        <v>2769</v>
      </c>
      <c r="B67" t="s">
        <v>244</v>
      </c>
      <c r="C67">
        <v>48.867325165993748</v>
      </c>
      <c r="D67">
        <v>2.3639985969762498</v>
      </c>
      <c r="E67" t="s">
        <v>1504</v>
      </c>
    </row>
    <row r="68" spans="1:5" x14ac:dyDescent="0.2">
      <c r="A68" t="s">
        <v>2770</v>
      </c>
      <c r="B68" t="s">
        <v>245</v>
      </c>
      <c r="C68">
        <v>48.865253786099998</v>
      </c>
      <c r="D68">
        <v>2.3745819699999999</v>
      </c>
      <c r="E68" t="s">
        <v>221</v>
      </c>
    </row>
    <row r="69" spans="1:5" x14ac:dyDescent="0.2">
      <c r="A69" t="s">
        <v>2771</v>
      </c>
      <c r="B69" t="s">
        <v>246</v>
      </c>
      <c r="C69">
        <v>48.875006398099998</v>
      </c>
      <c r="D69">
        <v>2.3245748102900001</v>
      </c>
      <c r="E69" t="s">
        <v>222</v>
      </c>
    </row>
    <row r="70" spans="1:5" x14ac:dyDescent="0.2">
      <c r="A70" t="s">
        <v>2772</v>
      </c>
      <c r="B70" t="s">
        <v>247</v>
      </c>
      <c r="C70">
        <v>48.865040059999998</v>
      </c>
      <c r="D70">
        <v>2.3988655168449999</v>
      </c>
      <c r="E70" t="s">
        <v>1472</v>
      </c>
    </row>
    <row r="71" spans="1:5" x14ac:dyDescent="0.2">
      <c r="A71" t="s">
        <v>2773</v>
      </c>
      <c r="B71" t="s">
        <v>248</v>
      </c>
      <c r="C71">
        <v>48.864017057699996</v>
      </c>
      <c r="D71">
        <v>2.4084317511100002</v>
      </c>
      <c r="E71" t="s">
        <v>2304</v>
      </c>
    </row>
    <row r="72" spans="1:5" x14ac:dyDescent="0.2">
      <c r="A72" t="s">
        <v>2774</v>
      </c>
      <c r="B72" t="s">
        <v>249</v>
      </c>
      <c r="C72">
        <v>48.865335317300001</v>
      </c>
      <c r="D72">
        <v>2.41669727286</v>
      </c>
      <c r="E72" t="s">
        <v>226</v>
      </c>
    </row>
    <row r="73" spans="1:5" x14ac:dyDescent="0.2">
      <c r="A73" t="s">
        <v>2775</v>
      </c>
      <c r="B73" t="s">
        <v>259</v>
      </c>
      <c r="C73">
        <v>48.876855720424999</v>
      </c>
      <c r="D73">
        <v>2.4068198116149997</v>
      </c>
      <c r="E73" t="s">
        <v>2305</v>
      </c>
    </row>
    <row r="74" spans="1:5" x14ac:dyDescent="0.2">
      <c r="A74" t="s">
        <v>2776</v>
      </c>
      <c r="B74" t="s">
        <v>260</v>
      </c>
      <c r="C74">
        <v>48.872101442100004</v>
      </c>
      <c r="D74">
        <v>2.4045149423800001</v>
      </c>
      <c r="E74" t="s">
        <v>264</v>
      </c>
    </row>
    <row r="75" spans="1:5" x14ac:dyDescent="0.2">
      <c r="A75" t="s">
        <v>2777</v>
      </c>
      <c r="B75" t="s">
        <v>261</v>
      </c>
      <c r="C75">
        <v>48.868440163300001</v>
      </c>
      <c r="D75">
        <v>2.40156171274</v>
      </c>
      <c r="E75" t="s">
        <v>265</v>
      </c>
    </row>
    <row r="76" spans="1:5" x14ac:dyDescent="0.2">
      <c r="A76" t="s">
        <v>2778</v>
      </c>
      <c r="B76" t="s">
        <v>306</v>
      </c>
      <c r="C76">
        <v>48.897713484699999</v>
      </c>
      <c r="D76">
        <v>2.3450380212650002</v>
      </c>
      <c r="E76" t="s">
        <v>2310</v>
      </c>
    </row>
    <row r="77" spans="1:5" x14ac:dyDescent="0.2">
      <c r="A77" t="s">
        <v>2779</v>
      </c>
      <c r="B77" t="s">
        <v>307</v>
      </c>
      <c r="C77">
        <v>48.893941388000002</v>
      </c>
      <c r="D77">
        <v>2.3477655017200001</v>
      </c>
      <c r="E77" t="s">
        <v>280</v>
      </c>
    </row>
    <row r="78" spans="1:5" x14ac:dyDescent="0.2">
      <c r="A78" t="s">
        <v>2780</v>
      </c>
      <c r="B78" t="s">
        <v>308</v>
      </c>
      <c r="C78">
        <v>48.891440917250002</v>
      </c>
      <c r="D78">
        <v>2.3497769294349999</v>
      </c>
      <c r="E78" t="s">
        <v>1508</v>
      </c>
    </row>
    <row r="79" spans="1:5" x14ac:dyDescent="0.2">
      <c r="A79" t="s">
        <v>2781</v>
      </c>
      <c r="B79" t="s">
        <v>309</v>
      </c>
      <c r="C79">
        <v>48.887374910600002</v>
      </c>
      <c r="D79">
        <v>2.3496940822000001</v>
      </c>
      <c r="E79" t="s">
        <v>282</v>
      </c>
    </row>
    <row r="80" spans="1:5" x14ac:dyDescent="0.2">
      <c r="A80" t="s">
        <v>2782</v>
      </c>
      <c r="B80" t="s">
        <v>310</v>
      </c>
      <c r="C80">
        <v>48.880234835875001</v>
      </c>
      <c r="D80">
        <v>2.3571712951250001</v>
      </c>
      <c r="E80" t="s">
        <v>3234</v>
      </c>
    </row>
    <row r="81" spans="1:5" x14ac:dyDescent="0.2">
      <c r="A81" t="s">
        <v>2783</v>
      </c>
      <c r="B81" t="s">
        <v>311</v>
      </c>
      <c r="C81">
        <v>48.876165706175001</v>
      </c>
      <c r="D81">
        <v>2.3580110214925001</v>
      </c>
      <c r="E81" t="s">
        <v>1479</v>
      </c>
    </row>
    <row r="82" spans="1:5" x14ac:dyDescent="0.2">
      <c r="A82" t="s">
        <v>2784</v>
      </c>
      <c r="B82" t="s">
        <v>312</v>
      </c>
      <c r="C82">
        <v>48.872424914500002</v>
      </c>
      <c r="D82">
        <v>2.3560449076699999</v>
      </c>
      <c r="E82" t="s">
        <v>286</v>
      </c>
    </row>
    <row r="83" spans="1:5" x14ac:dyDescent="0.2">
      <c r="A83" t="s">
        <v>2785</v>
      </c>
      <c r="B83" t="s">
        <v>313</v>
      </c>
      <c r="C83">
        <v>48.869290822399996</v>
      </c>
      <c r="D83">
        <v>2.3545507851225</v>
      </c>
      <c r="E83" t="s">
        <v>1494</v>
      </c>
    </row>
    <row r="84" spans="1:5" x14ac:dyDescent="0.2">
      <c r="A84" t="s">
        <v>2786</v>
      </c>
      <c r="B84" t="s">
        <v>314</v>
      </c>
      <c r="C84">
        <v>48.863807437799998</v>
      </c>
      <c r="D84">
        <v>2.3488806525900001</v>
      </c>
      <c r="E84" t="s">
        <v>289</v>
      </c>
    </row>
    <row r="85" spans="1:5" x14ac:dyDescent="0.2">
      <c r="A85" t="s">
        <v>2787</v>
      </c>
      <c r="B85" t="s">
        <v>315</v>
      </c>
      <c r="C85">
        <v>48.8623162787</v>
      </c>
      <c r="D85">
        <v>2.3456738282199998</v>
      </c>
      <c r="E85" t="s">
        <v>290</v>
      </c>
    </row>
    <row r="86" spans="1:5" x14ac:dyDescent="0.2">
      <c r="A86" t="s">
        <v>2788</v>
      </c>
      <c r="B86" t="s">
        <v>316</v>
      </c>
      <c r="C86">
        <v>48.854936376600001</v>
      </c>
      <c r="D86">
        <v>2.3473213157299999</v>
      </c>
      <c r="E86" t="s">
        <v>292</v>
      </c>
    </row>
    <row r="87" spans="1:5" x14ac:dyDescent="0.2">
      <c r="A87" t="s">
        <v>2789</v>
      </c>
      <c r="B87" t="s">
        <v>317</v>
      </c>
      <c r="C87">
        <v>48.853167984899997</v>
      </c>
      <c r="D87">
        <v>2.34328597892</v>
      </c>
      <c r="E87" t="s">
        <v>293</v>
      </c>
    </row>
    <row r="88" spans="1:5" x14ac:dyDescent="0.2">
      <c r="A88" t="s">
        <v>2790</v>
      </c>
      <c r="B88" t="s">
        <v>318</v>
      </c>
      <c r="C88">
        <v>48.852234012099998</v>
      </c>
      <c r="D88">
        <v>2.33968705876</v>
      </c>
      <c r="E88" t="s">
        <v>1500</v>
      </c>
    </row>
    <row r="89" spans="1:5" x14ac:dyDescent="0.2">
      <c r="A89" t="s">
        <v>2791</v>
      </c>
      <c r="B89" t="s">
        <v>319</v>
      </c>
      <c r="C89">
        <v>48.853718934</v>
      </c>
      <c r="D89">
        <v>2.3337761368600001</v>
      </c>
      <c r="E89" t="s">
        <v>295</v>
      </c>
    </row>
    <row r="90" spans="1:5" x14ac:dyDescent="0.2">
      <c r="A90" t="s">
        <v>2792</v>
      </c>
      <c r="B90" t="s">
        <v>320</v>
      </c>
      <c r="C90">
        <v>48.8516722456</v>
      </c>
      <c r="D90">
        <v>2.3312562913699999</v>
      </c>
      <c r="E90" t="s">
        <v>296</v>
      </c>
    </row>
    <row r="91" spans="1:5" x14ac:dyDescent="0.2">
      <c r="A91" t="s">
        <v>2793</v>
      </c>
      <c r="B91" t="s">
        <v>321</v>
      </c>
      <c r="C91">
        <v>48.846878238000002</v>
      </c>
      <c r="D91">
        <v>2.3267927850399999</v>
      </c>
      <c r="E91" t="s">
        <v>297</v>
      </c>
    </row>
    <row r="92" spans="1:5" x14ac:dyDescent="0.2">
      <c r="A92" t="s">
        <v>2794</v>
      </c>
      <c r="B92" t="s">
        <v>322</v>
      </c>
      <c r="C92">
        <v>48.842833030175001</v>
      </c>
      <c r="D92">
        <v>2.3222901249975001</v>
      </c>
      <c r="E92" t="s">
        <v>1518</v>
      </c>
    </row>
    <row r="93" spans="1:5" x14ac:dyDescent="0.2">
      <c r="A93" t="s">
        <v>2795</v>
      </c>
      <c r="B93" t="s">
        <v>323</v>
      </c>
      <c r="C93">
        <v>48.842218413600001</v>
      </c>
      <c r="D93">
        <v>2.3290089262400002</v>
      </c>
      <c r="E93" t="s">
        <v>299</v>
      </c>
    </row>
    <row r="94" spans="1:5" x14ac:dyDescent="0.2">
      <c r="A94" t="s">
        <v>2796</v>
      </c>
      <c r="B94" t="s">
        <v>324</v>
      </c>
      <c r="C94">
        <v>48.838964280699997</v>
      </c>
      <c r="D94">
        <v>2.3307541920900001</v>
      </c>
      <c r="E94" t="s">
        <v>1477</v>
      </c>
    </row>
    <row r="95" spans="1:5" x14ac:dyDescent="0.2">
      <c r="A95" t="s">
        <v>2797</v>
      </c>
      <c r="B95" t="s">
        <v>325</v>
      </c>
      <c r="C95">
        <v>48.834082449925006</v>
      </c>
      <c r="D95">
        <v>2.3325742652174997</v>
      </c>
      <c r="E95" t="s">
        <v>3239</v>
      </c>
    </row>
    <row r="96" spans="1:5" x14ac:dyDescent="0.2">
      <c r="A96" t="s">
        <v>2798</v>
      </c>
      <c r="B96" t="s">
        <v>326</v>
      </c>
      <c r="C96">
        <v>48.831112660400002</v>
      </c>
      <c r="D96">
        <v>2.3297050126199998</v>
      </c>
      <c r="E96" t="s">
        <v>302</v>
      </c>
    </row>
    <row r="97" spans="1:5" x14ac:dyDescent="0.2">
      <c r="A97" s="8" t="s">
        <v>2799</v>
      </c>
      <c r="B97" t="s">
        <v>327</v>
      </c>
      <c r="C97">
        <v>48.828188476299999</v>
      </c>
      <c r="D97">
        <v>2.3271646496099998</v>
      </c>
      <c r="E97" t="s">
        <v>303</v>
      </c>
    </row>
    <row r="98" spans="1:5" x14ac:dyDescent="0.2">
      <c r="A98" t="s">
        <v>2800</v>
      </c>
      <c r="B98" t="s">
        <v>2202</v>
      </c>
      <c r="C98">
        <v>48.823281631049994</v>
      </c>
      <c r="D98">
        <v>2.325542607015</v>
      </c>
      <c r="E98" t="s">
        <v>2296</v>
      </c>
    </row>
    <row r="99" spans="1:5" x14ac:dyDescent="0.2">
      <c r="A99" t="s">
        <v>2801</v>
      </c>
      <c r="B99" t="s">
        <v>328</v>
      </c>
      <c r="C99">
        <v>48.8186764099</v>
      </c>
      <c r="D99">
        <v>2.3197403133000001</v>
      </c>
      <c r="E99" t="s">
        <v>305</v>
      </c>
    </row>
    <row r="100" spans="1:5" x14ac:dyDescent="0.2">
      <c r="A100" t="s">
        <v>2802</v>
      </c>
      <c r="B100" t="s">
        <v>403</v>
      </c>
      <c r="C100">
        <v>48.906454029399995</v>
      </c>
      <c r="D100">
        <v>2.4495972837600002</v>
      </c>
      <c r="E100" t="s">
        <v>2291</v>
      </c>
    </row>
    <row r="101" spans="1:5" x14ac:dyDescent="0.2">
      <c r="A101" t="s">
        <v>2803</v>
      </c>
      <c r="B101" t="s">
        <v>404</v>
      </c>
      <c r="C101">
        <v>48.895454673000003</v>
      </c>
      <c r="D101">
        <v>2.4253268887999999</v>
      </c>
      <c r="E101" t="s">
        <v>379</v>
      </c>
    </row>
    <row r="102" spans="1:5" x14ac:dyDescent="0.2">
      <c r="A102" t="s">
        <v>2804</v>
      </c>
      <c r="B102" t="s">
        <v>405</v>
      </c>
      <c r="C102">
        <v>48.893257589999997</v>
      </c>
      <c r="D102">
        <v>2.41331313951</v>
      </c>
      <c r="E102" t="s">
        <v>380</v>
      </c>
    </row>
    <row r="103" spans="1:5" x14ac:dyDescent="0.2">
      <c r="A103" t="s">
        <v>2805</v>
      </c>
      <c r="B103" t="s">
        <v>406</v>
      </c>
      <c r="C103">
        <v>48.891228593199997</v>
      </c>
      <c r="D103">
        <v>2.4023521425399998</v>
      </c>
      <c r="E103" t="s">
        <v>381</v>
      </c>
    </row>
    <row r="104" spans="1:5" x14ac:dyDescent="0.2">
      <c r="A104" t="s">
        <v>2806</v>
      </c>
      <c r="B104" t="s">
        <v>407</v>
      </c>
      <c r="C104">
        <v>48.8887556687</v>
      </c>
      <c r="D104">
        <v>2.3938973862350004</v>
      </c>
      <c r="E104" t="s">
        <v>2307</v>
      </c>
    </row>
    <row r="105" spans="1:5" x14ac:dyDescent="0.2">
      <c r="A105" t="s">
        <v>2807</v>
      </c>
      <c r="B105" t="s">
        <v>408</v>
      </c>
      <c r="C105">
        <v>48.887134869100002</v>
      </c>
      <c r="D105">
        <v>2.3869600171399998</v>
      </c>
      <c r="E105" t="s">
        <v>383</v>
      </c>
    </row>
    <row r="106" spans="1:5" x14ac:dyDescent="0.2">
      <c r="A106" t="s">
        <v>2808</v>
      </c>
      <c r="B106" t="s">
        <v>409</v>
      </c>
      <c r="C106">
        <v>48.885216182100002</v>
      </c>
      <c r="D106">
        <v>2.3796630774800001</v>
      </c>
      <c r="E106" t="s">
        <v>384</v>
      </c>
    </row>
    <row r="107" spans="1:5" x14ac:dyDescent="0.2">
      <c r="A107" t="s">
        <v>2809</v>
      </c>
      <c r="B107" t="s">
        <v>410</v>
      </c>
      <c r="C107">
        <v>48.870809979999997</v>
      </c>
      <c r="D107">
        <v>2.36102746692</v>
      </c>
      <c r="E107" t="s">
        <v>389</v>
      </c>
    </row>
    <row r="108" spans="1:5" x14ac:dyDescent="0.2">
      <c r="A108" t="s">
        <v>2810</v>
      </c>
      <c r="B108" t="s">
        <v>411</v>
      </c>
      <c r="C108">
        <v>48.864692750149999</v>
      </c>
      <c r="D108">
        <v>2.3684532063849999</v>
      </c>
      <c r="E108" t="s">
        <v>1495</v>
      </c>
    </row>
    <row r="109" spans="1:5" x14ac:dyDescent="0.2">
      <c r="A109" t="s">
        <v>2811</v>
      </c>
      <c r="B109" t="s">
        <v>412</v>
      </c>
      <c r="C109">
        <v>48.859873624400002</v>
      </c>
      <c r="D109">
        <v>2.37191398009</v>
      </c>
      <c r="E109" t="s">
        <v>392</v>
      </c>
    </row>
    <row r="110" spans="1:5" x14ac:dyDescent="0.2">
      <c r="A110" t="s">
        <v>2812</v>
      </c>
      <c r="B110" t="s">
        <v>413</v>
      </c>
      <c r="C110">
        <v>48.8561407093</v>
      </c>
      <c r="D110">
        <v>2.37020933841</v>
      </c>
      <c r="E110" t="s">
        <v>393</v>
      </c>
    </row>
    <row r="111" spans="1:5" x14ac:dyDescent="0.2">
      <c r="A111" t="s">
        <v>2813</v>
      </c>
      <c r="B111" t="s">
        <v>414</v>
      </c>
      <c r="C111">
        <v>48.846515404199998</v>
      </c>
      <c r="D111">
        <v>2.3658734694099999</v>
      </c>
      <c r="E111" t="s">
        <v>395</v>
      </c>
    </row>
    <row r="112" spans="1:5" x14ac:dyDescent="0.2">
      <c r="A112" t="s">
        <v>2814</v>
      </c>
      <c r="B112" t="s">
        <v>415</v>
      </c>
      <c r="C112">
        <v>48.842351091750004</v>
      </c>
      <c r="D112">
        <v>2.365261732485</v>
      </c>
      <c r="E112" s="8" t="s">
        <v>1502</v>
      </c>
    </row>
    <row r="113" spans="1:5" x14ac:dyDescent="0.2">
      <c r="A113" t="s">
        <v>2815</v>
      </c>
      <c r="B113" t="s">
        <v>416</v>
      </c>
      <c r="C113">
        <v>48.838427297000003</v>
      </c>
      <c r="D113">
        <v>2.3609671677000001</v>
      </c>
      <c r="E113" t="s">
        <v>397</v>
      </c>
    </row>
    <row r="114" spans="1:5" x14ac:dyDescent="0.2">
      <c r="A114" t="s">
        <v>2816</v>
      </c>
      <c r="B114" t="s">
        <v>417</v>
      </c>
      <c r="C114">
        <v>48.835495355399999</v>
      </c>
      <c r="D114">
        <v>2.3588234891000002</v>
      </c>
      <c r="E114" t="s">
        <v>398</v>
      </c>
    </row>
    <row r="115" spans="1:5" x14ac:dyDescent="0.2">
      <c r="A115" t="s">
        <v>2817</v>
      </c>
      <c r="B115" t="s">
        <v>418</v>
      </c>
      <c r="C115">
        <v>48.831191794000006</v>
      </c>
      <c r="D115">
        <v>2.35574737473</v>
      </c>
      <c r="E115" t="s">
        <v>1481</v>
      </c>
    </row>
    <row r="116" spans="1:5" x14ac:dyDescent="0.2">
      <c r="A116" t="s">
        <v>2818</v>
      </c>
      <c r="B116" t="s">
        <v>420</v>
      </c>
      <c r="C116">
        <v>48.871649769100003</v>
      </c>
      <c r="D116">
        <v>2.2935242903400002</v>
      </c>
      <c r="E116" t="s">
        <v>401</v>
      </c>
    </row>
    <row r="117" spans="1:5" x14ac:dyDescent="0.2">
      <c r="A117" t="s">
        <v>2819</v>
      </c>
      <c r="B117" t="s">
        <v>421</v>
      </c>
      <c r="C117">
        <v>48.8669831104</v>
      </c>
      <c r="D117">
        <v>2.29005883493</v>
      </c>
      <c r="E117" t="s">
        <v>442</v>
      </c>
    </row>
    <row r="118" spans="1:5" x14ac:dyDescent="0.2">
      <c r="A118" t="s">
        <v>2820</v>
      </c>
      <c r="B118" t="s">
        <v>422</v>
      </c>
      <c r="C118">
        <v>48.863337978899999</v>
      </c>
      <c r="D118">
        <v>2.28691166661</v>
      </c>
      <c r="E118" t="s">
        <v>1487</v>
      </c>
    </row>
    <row r="119" spans="1:5" x14ac:dyDescent="0.2">
      <c r="A119" t="s">
        <v>2821</v>
      </c>
      <c r="B119" t="s">
        <v>423</v>
      </c>
      <c r="C119">
        <v>48.857448691000002</v>
      </c>
      <c r="D119">
        <v>2.2858124441299998</v>
      </c>
      <c r="E119" t="s">
        <v>446</v>
      </c>
    </row>
    <row r="120" spans="1:5" x14ac:dyDescent="0.2">
      <c r="A120" t="s">
        <v>2822</v>
      </c>
      <c r="B120" t="s">
        <v>424</v>
      </c>
      <c r="C120">
        <v>48.853942607100002</v>
      </c>
      <c r="D120">
        <v>2.2893345327699999</v>
      </c>
      <c r="E120" t="s">
        <v>448</v>
      </c>
    </row>
    <row r="121" spans="1:5" x14ac:dyDescent="0.2">
      <c r="A121" t="s">
        <v>2823</v>
      </c>
      <c r="B121" t="s">
        <v>425</v>
      </c>
      <c r="C121">
        <v>48.850434548999999</v>
      </c>
      <c r="D121">
        <v>2.29361243991</v>
      </c>
      <c r="E121" t="s">
        <v>450</v>
      </c>
    </row>
    <row r="122" spans="1:5" x14ac:dyDescent="0.2">
      <c r="A122" s="8" t="s">
        <v>2824</v>
      </c>
      <c r="B122" t="s">
        <v>426</v>
      </c>
      <c r="C122">
        <v>48.849198331624997</v>
      </c>
      <c r="D122">
        <v>2.2984587792349997</v>
      </c>
      <c r="E122" t="s">
        <v>1499</v>
      </c>
    </row>
    <row r="123" spans="1:5" x14ac:dyDescent="0.2">
      <c r="A123" t="s">
        <v>2825</v>
      </c>
      <c r="B123" t="s">
        <v>427</v>
      </c>
      <c r="C123">
        <v>48.847507081099998</v>
      </c>
      <c r="D123">
        <v>2.3029682991899998</v>
      </c>
      <c r="E123" t="s">
        <v>454</v>
      </c>
    </row>
    <row r="124" spans="1:5" x14ac:dyDescent="0.2">
      <c r="A124" t="s">
        <v>2826</v>
      </c>
      <c r="B124" t="s">
        <v>1188</v>
      </c>
      <c r="C124">
        <v>48.845626966700003</v>
      </c>
      <c r="D124">
        <v>2.3095314900999999</v>
      </c>
      <c r="E124" t="s">
        <v>456</v>
      </c>
    </row>
    <row r="125" spans="1:5" x14ac:dyDescent="0.2">
      <c r="A125" t="s">
        <v>2827</v>
      </c>
      <c r="B125" t="s">
        <v>429</v>
      </c>
      <c r="C125">
        <v>48.842774047500001</v>
      </c>
      <c r="D125">
        <v>2.3126301432699998</v>
      </c>
      <c r="E125" t="s">
        <v>1512</v>
      </c>
    </row>
    <row r="126" spans="1:5" x14ac:dyDescent="0.2">
      <c r="A126" t="s">
        <v>2828</v>
      </c>
      <c r="B126" t="s">
        <v>430</v>
      </c>
      <c r="C126">
        <v>48.840663229299999</v>
      </c>
      <c r="D126">
        <v>2.3263846107899999</v>
      </c>
      <c r="E126" t="s">
        <v>462</v>
      </c>
    </row>
    <row r="127" spans="1:5" x14ac:dyDescent="0.2">
      <c r="A127" t="s">
        <v>2829</v>
      </c>
      <c r="B127" t="s">
        <v>431</v>
      </c>
      <c r="C127">
        <v>48.8329008165</v>
      </c>
      <c r="D127">
        <v>2.3371351906100002</v>
      </c>
      <c r="E127" t="s">
        <v>468</v>
      </c>
    </row>
    <row r="128" spans="1:5" x14ac:dyDescent="0.2">
      <c r="A128" t="s">
        <v>2830</v>
      </c>
      <c r="B128" t="s">
        <v>432</v>
      </c>
      <c r="C128">
        <v>48.831129548</v>
      </c>
      <c r="D128">
        <v>2.3435116577500001</v>
      </c>
      <c r="E128" t="s">
        <v>470</v>
      </c>
    </row>
    <row r="129" spans="1:5" x14ac:dyDescent="0.2">
      <c r="A129" t="s">
        <v>2831</v>
      </c>
      <c r="B129" t="s">
        <v>433</v>
      </c>
      <c r="C129">
        <v>48.829790513699997</v>
      </c>
      <c r="D129">
        <v>2.35041487201</v>
      </c>
      <c r="E129" t="s">
        <v>472</v>
      </c>
    </row>
    <row r="130" spans="1:5" x14ac:dyDescent="0.2">
      <c r="A130" t="s">
        <v>2832</v>
      </c>
      <c r="B130" t="s">
        <v>434</v>
      </c>
      <c r="C130">
        <v>48.833216719699998</v>
      </c>
      <c r="D130">
        <v>2.36285639952</v>
      </c>
      <c r="E130" t="s">
        <v>476</v>
      </c>
    </row>
    <row r="131" spans="1:5" x14ac:dyDescent="0.2">
      <c r="A131" t="s">
        <v>2833</v>
      </c>
      <c r="B131" t="s">
        <v>435</v>
      </c>
      <c r="C131">
        <v>48.834947722300001</v>
      </c>
      <c r="D131">
        <v>2.3681263290599999</v>
      </c>
      <c r="E131" t="s">
        <v>478</v>
      </c>
    </row>
    <row r="132" spans="1:5" x14ac:dyDescent="0.2">
      <c r="A132" t="s">
        <v>2834</v>
      </c>
      <c r="B132" t="s">
        <v>436</v>
      </c>
      <c r="C132">
        <v>48.837045119199999</v>
      </c>
      <c r="D132">
        <v>2.37282572183</v>
      </c>
      <c r="E132" t="s">
        <v>480</v>
      </c>
    </row>
    <row r="133" spans="1:5" x14ac:dyDescent="0.2">
      <c r="A133" t="s">
        <v>2835</v>
      </c>
      <c r="B133" t="s">
        <v>437</v>
      </c>
      <c r="C133">
        <v>48.8401950688</v>
      </c>
      <c r="D133">
        <v>2.379732641325</v>
      </c>
      <c r="E133" t="s">
        <v>1524</v>
      </c>
    </row>
    <row r="134" spans="1:5" x14ac:dyDescent="0.2">
      <c r="A134" t="s">
        <v>2836</v>
      </c>
      <c r="B134" t="s">
        <v>438</v>
      </c>
      <c r="C134">
        <v>48.839041143700001</v>
      </c>
      <c r="D134">
        <v>2.3896200113399999</v>
      </c>
      <c r="E134" s="8" t="s">
        <v>484</v>
      </c>
    </row>
    <row r="135" spans="1:5" x14ac:dyDescent="0.2">
      <c r="A135" t="s">
        <v>2837</v>
      </c>
      <c r="B135" t="s">
        <v>808</v>
      </c>
      <c r="C135">
        <v>48.839497537</v>
      </c>
      <c r="D135">
        <v>2.3959430879450001</v>
      </c>
      <c r="E135" t="s">
        <v>1486</v>
      </c>
    </row>
    <row r="136" spans="1:5" x14ac:dyDescent="0.2">
      <c r="A136" s="8" t="s">
        <v>2838</v>
      </c>
      <c r="B136" t="s">
        <v>439</v>
      </c>
      <c r="C136">
        <v>48.841338250900002</v>
      </c>
      <c r="D136">
        <v>2.40091853812</v>
      </c>
      <c r="E136" t="s">
        <v>488</v>
      </c>
    </row>
    <row r="137" spans="1:5" x14ac:dyDescent="0.2">
      <c r="A137" t="s">
        <v>2839</v>
      </c>
      <c r="B137" t="s">
        <v>440</v>
      </c>
      <c r="C137">
        <v>48.845061579899998</v>
      </c>
      <c r="D137">
        <v>2.4012890198300001</v>
      </c>
      <c r="E137" t="s">
        <v>490</v>
      </c>
    </row>
    <row r="138" spans="1:5" x14ac:dyDescent="0.2">
      <c r="A138" t="s">
        <v>2840</v>
      </c>
      <c r="B138" t="s">
        <v>494</v>
      </c>
      <c r="C138">
        <v>48.920785969950003</v>
      </c>
      <c r="D138">
        <v>2.41059861441</v>
      </c>
      <c r="E138" t="s">
        <v>2290</v>
      </c>
    </row>
    <row r="139" spans="1:5" x14ac:dyDescent="0.2">
      <c r="A139" t="s">
        <v>2841</v>
      </c>
      <c r="B139" t="s">
        <v>495</v>
      </c>
      <c r="C139">
        <v>48.914949756399999</v>
      </c>
      <c r="D139">
        <v>2.4044090874299999</v>
      </c>
      <c r="E139" t="s">
        <v>570</v>
      </c>
    </row>
    <row r="140" spans="1:5" x14ac:dyDescent="0.2">
      <c r="A140" t="s">
        <v>2842</v>
      </c>
      <c r="B140" t="s">
        <v>496</v>
      </c>
      <c r="C140">
        <v>48.903759930200003</v>
      </c>
      <c r="D140">
        <v>2.3922870596400001</v>
      </c>
      <c r="E140" t="s">
        <v>572</v>
      </c>
    </row>
    <row r="141" spans="1:5" x14ac:dyDescent="0.2">
      <c r="A141" t="s">
        <v>2843</v>
      </c>
      <c r="B141" t="s">
        <v>497</v>
      </c>
      <c r="C141">
        <v>48.89740931315</v>
      </c>
      <c r="D141">
        <v>2.3860449103949999</v>
      </c>
      <c r="E141" s="8" t="s">
        <v>2308</v>
      </c>
    </row>
    <row r="142" spans="1:5" x14ac:dyDescent="0.2">
      <c r="A142" t="s">
        <v>2844</v>
      </c>
      <c r="B142" t="s">
        <v>498</v>
      </c>
      <c r="C142">
        <v>48.894836468400001</v>
      </c>
      <c r="D142">
        <v>2.3825223434199998</v>
      </c>
      <c r="E142" t="s">
        <v>576</v>
      </c>
    </row>
    <row r="143" spans="1:5" x14ac:dyDescent="0.2">
      <c r="A143" t="s">
        <v>2845</v>
      </c>
      <c r="B143" t="s">
        <v>499</v>
      </c>
      <c r="C143">
        <v>48.890788969500001</v>
      </c>
      <c r="D143">
        <v>2.3773157556000002</v>
      </c>
      <c r="E143" t="s">
        <v>578</v>
      </c>
    </row>
    <row r="144" spans="1:5" x14ac:dyDescent="0.2">
      <c r="A144" t="s">
        <v>2846</v>
      </c>
      <c r="B144" t="s">
        <v>500</v>
      </c>
      <c r="C144">
        <v>48.888267616999997</v>
      </c>
      <c r="D144">
        <v>2.3742040120399999</v>
      </c>
      <c r="E144" t="s">
        <v>580</v>
      </c>
    </row>
    <row r="145" spans="1:5" x14ac:dyDescent="0.2">
      <c r="A145" t="s">
        <v>2847</v>
      </c>
      <c r="B145" t="s">
        <v>501</v>
      </c>
      <c r="C145">
        <v>48.881345272049998</v>
      </c>
      <c r="D145">
        <v>2.36538155051</v>
      </c>
      <c r="E145" t="s">
        <v>1482</v>
      </c>
    </row>
    <row r="146" spans="1:5" x14ac:dyDescent="0.2">
      <c r="A146" t="s">
        <v>2848</v>
      </c>
      <c r="B146" t="s">
        <v>502</v>
      </c>
      <c r="C146">
        <v>48.8785656258</v>
      </c>
      <c r="D146">
        <v>2.36216007192</v>
      </c>
      <c r="E146" t="s">
        <v>586</v>
      </c>
    </row>
    <row r="147" spans="1:5" x14ac:dyDescent="0.2">
      <c r="A147" t="s">
        <v>2849</v>
      </c>
      <c r="B147" t="s">
        <v>503</v>
      </c>
      <c r="C147">
        <v>48.8772363191</v>
      </c>
      <c r="D147">
        <v>2.3492939024799999</v>
      </c>
      <c r="E147" t="s">
        <v>590</v>
      </c>
    </row>
    <row r="148" spans="1:5" x14ac:dyDescent="0.2">
      <c r="A148" t="s">
        <v>2850</v>
      </c>
      <c r="B148" t="s">
        <v>504</v>
      </c>
      <c r="C148">
        <v>48.875890681900003</v>
      </c>
      <c r="D148">
        <v>2.34412603046</v>
      </c>
      <c r="E148" t="s">
        <v>592</v>
      </c>
    </row>
    <row r="149" spans="1:5" x14ac:dyDescent="0.2">
      <c r="A149" t="s">
        <v>2851</v>
      </c>
      <c r="B149" t="s">
        <v>505</v>
      </c>
      <c r="C149">
        <v>48.874874343400002</v>
      </c>
      <c r="D149">
        <v>2.34019988439</v>
      </c>
      <c r="E149" t="s">
        <v>594</v>
      </c>
    </row>
    <row r="150" spans="1:5" x14ac:dyDescent="0.2">
      <c r="A150" t="s">
        <v>2852</v>
      </c>
      <c r="B150" t="s">
        <v>506</v>
      </c>
      <c r="C150">
        <v>48.873023465999999</v>
      </c>
      <c r="D150">
        <v>2.3334651752150002</v>
      </c>
      <c r="E150" t="s">
        <v>1490</v>
      </c>
    </row>
    <row r="151" spans="1:5" x14ac:dyDescent="0.2">
      <c r="A151" t="s">
        <v>2853</v>
      </c>
      <c r="B151" t="s">
        <v>507</v>
      </c>
      <c r="C151">
        <v>48.86594383005</v>
      </c>
      <c r="D151">
        <v>2.3342601331749999</v>
      </c>
      <c r="E151" t="s">
        <v>1521</v>
      </c>
    </row>
    <row r="152" spans="1:5" x14ac:dyDescent="0.2">
      <c r="A152" t="s">
        <v>2854</v>
      </c>
      <c r="B152" t="s">
        <v>508</v>
      </c>
      <c r="C152">
        <v>48.858553826399998</v>
      </c>
      <c r="D152">
        <v>2.3422327593699999</v>
      </c>
      <c r="E152" s="8" t="s">
        <v>604</v>
      </c>
    </row>
    <row r="153" spans="1:5" x14ac:dyDescent="0.2">
      <c r="A153" t="s">
        <v>2855</v>
      </c>
      <c r="B153" t="s">
        <v>509</v>
      </c>
      <c r="C153">
        <v>48.853575472499998</v>
      </c>
      <c r="D153">
        <v>2.35716257162</v>
      </c>
      <c r="E153" t="s">
        <v>608</v>
      </c>
    </row>
    <row r="154" spans="1:5" x14ac:dyDescent="0.2">
      <c r="A154" t="s">
        <v>2856</v>
      </c>
      <c r="B154" t="s">
        <v>510</v>
      </c>
      <c r="C154">
        <v>48.851237680399997</v>
      </c>
      <c r="D154">
        <v>2.3619851409999999</v>
      </c>
      <c r="E154" t="s">
        <v>610</v>
      </c>
    </row>
    <row r="155" spans="1:5" x14ac:dyDescent="0.2">
      <c r="A155" t="s">
        <v>2857</v>
      </c>
      <c r="B155" t="s">
        <v>511</v>
      </c>
      <c r="C155">
        <v>48.846050894849995</v>
      </c>
      <c r="D155">
        <v>2.35498412338</v>
      </c>
      <c r="E155" t="s">
        <v>1501</v>
      </c>
    </row>
    <row r="156" spans="1:5" x14ac:dyDescent="0.2">
      <c r="A156" t="s">
        <v>2858</v>
      </c>
      <c r="B156" t="s">
        <v>512</v>
      </c>
      <c r="C156">
        <v>48.842866830699997</v>
      </c>
      <c r="D156">
        <v>2.3522247281799999</v>
      </c>
      <c r="E156" t="s">
        <v>614</v>
      </c>
    </row>
    <row r="157" spans="1:5" x14ac:dyDescent="0.2">
      <c r="A157" t="s">
        <v>2859</v>
      </c>
      <c r="B157" t="s">
        <v>513</v>
      </c>
      <c r="C157">
        <v>48.840486652599999</v>
      </c>
      <c r="D157">
        <v>2.3517394871700001</v>
      </c>
      <c r="E157" t="s">
        <v>616</v>
      </c>
    </row>
    <row r="158" spans="1:5" x14ac:dyDescent="0.2">
      <c r="A158" t="s">
        <v>2860</v>
      </c>
      <c r="B158" t="s">
        <v>514</v>
      </c>
      <c r="C158">
        <v>48.835863484199997</v>
      </c>
      <c r="D158">
        <v>2.3525889256400001</v>
      </c>
      <c r="E158" t="s">
        <v>618</v>
      </c>
    </row>
    <row r="159" spans="1:5" x14ac:dyDescent="0.2">
      <c r="A159" t="s">
        <v>2861</v>
      </c>
      <c r="B159" t="s">
        <v>515</v>
      </c>
      <c r="C159">
        <v>48.826426010900001</v>
      </c>
      <c r="D159">
        <v>2.3572456507599999</v>
      </c>
      <c r="E159" t="s">
        <v>622</v>
      </c>
    </row>
    <row r="160" spans="1:5" x14ac:dyDescent="0.2">
      <c r="A160" t="s">
        <v>2862</v>
      </c>
      <c r="B160" t="s">
        <v>516</v>
      </c>
      <c r="C160">
        <v>48.822437834600002</v>
      </c>
      <c r="D160">
        <v>2.3584738838499999</v>
      </c>
      <c r="E160" t="s">
        <v>624</v>
      </c>
    </row>
    <row r="161" spans="1:5" x14ac:dyDescent="0.2">
      <c r="A161" t="s">
        <v>2863</v>
      </c>
      <c r="B161" t="s">
        <v>517</v>
      </c>
      <c r="C161">
        <v>48.819137432150001</v>
      </c>
      <c r="D161">
        <v>2.359917479385</v>
      </c>
      <c r="E161" t="s">
        <v>2297</v>
      </c>
    </row>
    <row r="162" spans="1:5" x14ac:dyDescent="0.2">
      <c r="A162" t="s">
        <v>2864</v>
      </c>
      <c r="B162" t="s">
        <v>518</v>
      </c>
      <c r="C162">
        <v>48.819818744300001</v>
      </c>
      <c r="D162">
        <v>2.3642737069650002</v>
      </c>
      <c r="E162" t="s">
        <v>2298</v>
      </c>
    </row>
    <row r="163" spans="1:5" x14ac:dyDescent="0.2">
      <c r="A163" t="s">
        <v>2865</v>
      </c>
      <c r="B163" t="s">
        <v>519</v>
      </c>
      <c r="C163">
        <v>48.821592670949997</v>
      </c>
      <c r="D163">
        <v>2.3696720954400003</v>
      </c>
      <c r="E163" t="s">
        <v>2299</v>
      </c>
    </row>
    <row r="164" spans="1:5" x14ac:dyDescent="0.2">
      <c r="A164" t="s">
        <v>2866</v>
      </c>
      <c r="B164" t="s">
        <v>520</v>
      </c>
      <c r="C164">
        <v>48.815930762999997</v>
      </c>
      <c r="D164">
        <v>2.3772672001499999</v>
      </c>
      <c r="E164" t="s">
        <v>632</v>
      </c>
    </row>
    <row r="165" spans="1:5" x14ac:dyDescent="0.2">
      <c r="A165" t="s">
        <v>2867</v>
      </c>
      <c r="B165" t="s">
        <v>521</v>
      </c>
      <c r="C165">
        <v>48.811099197700003</v>
      </c>
      <c r="D165">
        <v>2.3835514796499999</v>
      </c>
      <c r="E165" t="s">
        <v>634</v>
      </c>
    </row>
    <row r="166" spans="1:5" x14ac:dyDescent="0.2">
      <c r="A166" t="s">
        <v>2868</v>
      </c>
      <c r="B166" t="s">
        <v>522</v>
      </c>
      <c r="C166">
        <v>48.810129957299999</v>
      </c>
      <c r="D166">
        <v>2.3622633871300001</v>
      </c>
      <c r="E166" t="s">
        <v>635</v>
      </c>
    </row>
    <row r="167" spans="1:5" x14ac:dyDescent="0.2">
      <c r="A167" t="s">
        <v>2869</v>
      </c>
      <c r="B167" t="s">
        <v>523</v>
      </c>
      <c r="C167">
        <v>48.804688120900003</v>
      </c>
      <c r="D167">
        <v>2.3639531965999998</v>
      </c>
      <c r="E167" t="s">
        <v>637</v>
      </c>
    </row>
    <row r="168" spans="1:5" x14ac:dyDescent="0.2">
      <c r="A168" t="s">
        <v>2870</v>
      </c>
      <c r="B168" t="s">
        <v>524</v>
      </c>
      <c r="C168">
        <v>48.796483082800002</v>
      </c>
      <c r="D168">
        <v>2.3682695414300001</v>
      </c>
      <c r="E168" t="s">
        <v>639</v>
      </c>
    </row>
    <row r="169" spans="1:5" x14ac:dyDescent="0.2">
      <c r="A169" t="s">
        <v>2871</v>
      </c>
      <c r="B169" t="s">
        <v>525</v>
      </c>
      <c r="C169">
        <v>48.787421571050004</v>
      </c>
      <c r="D169">
        <v>2.367396275965</v>
      </c>
      <c r="E169" t="s">
        <v>2315</v>
      </c>
    </row>
    <row r="170" spans="1:5" x14ac:dyDescent="0.2">
      <c r="A170" t="s">
        <v>2872</v>
      </c>
      <c r="B170" t="s">
        <v>769</v>
      </c>
      <c r="C170">
        <v>48.880821261400001</v>
      </c>
      <c r="D170">
        <v>2.3741471538400001</v>
      </c>
      <c r="E170" t="s">
        <v>678</v>
      </c>
    </row>
    <row r="171" spans="1:5" x14ac:dyDescent="0.2">
      <c r="A171" t="s">
        <v>2873</v>
      </c>
      <c r="B171" t="s">
        <v>770</v>
      </c>
      <c r="C171">
        <v>48.878514113100003</v>
      </c>
      <c r="D171">
        <v>2.3816145119400001</v>
      </c>
      <c r="E171" t="s">
        <v>679</v>
      </c>
    </row>
    <row r="172" spans="1:5" x14ac:dyDescent="0.2">
      <c r="A172" t="s">
        <v>2874</v>
      </c>
      <c r="B172" t="s">
        <v>771</v>
      </c>
      <c r="C172">
        <v>48.879481771899997</v>
      </c>
      <c r="D172">
        <v>2.3891158073800001</v>
      </c>
      <c r="E172" t="s">
        <v>680</v>
      </c>
    </row>
    <row r="173" spans="1:5" x14ac:dyDescent="0.2">
      <c r="A173" t="s">
        <v>2875</v>
      </c>
      <c r="B173" t="s">
        <v>772</v>
      </c>
      <c r="C173">
        <v>48.881931998699997</v>
      </c>
      <c r="D173">
        <v>2.3934454564899998</v>
      </c>
      <c r="E173" t="s">
        <v>681</v>
      </c>
    </row>
    <row r="174" spans="1:5" x14ac:dyDescent="0.2">
      <c r="A174" t="s">
        <v>2876</v>
      </c>
      <c r="B174" t="s">
        <v>773</v>
      </c>
      <c r="C174">
        <v>48.876878118649998</v>
      </c>
      <c r="D174">
        <v>2.3930200290699997</v>
      </c>
      <c r="E174" t="s">
        <v>1506</v>
      </c>
    </row>
    <row r="175" spans="1:5" x14ac:dyDescent="0.2">
      <c r="A175" t="s">
        <v>2877</v>
      </c>
      <c r="B175" t="s">
        <v>774</v>
      </c>
      <c r="C175">
        <v>48.879733081750004</v>
      </c>
      <c r="D175">
        <v>2.4000842118700003</v>
      </c>
      <c r="E175" t="s">
        <v>2306</v>
      </c>
    </row>
    <row r="176" spans="1:5" x14ac:dyDescent="0.2">
      <c r="A176" t="s">
        <v>2878</v>
      </c>
      <c r="B176" t="s">
        <v>790</v>
      </c>
      <c r="C176">
        <v>48.836026929249996</v>
      </c>
      <c r="D176">
        <v>2.2781404241200001</v>
      </c>
      <c r="E176" t="s">
        <v>2293</v>
      </c>
    </row>
    <row r="177" spans="1:5" x14ac:dyDescent="0.2">
      <c r="A177" t="s">
        <v>2879</v>
      </c>
      <c r="B177" t="s">
        <v>791</v>
      </c>
      <c r="C177">
        <v>48.838960939400003</v>
      </c>
      <c r="D177">
        <v>2.2827000272400002</v>
      </c>
      <c r="E177" t="s">
        <v>685</v>
      </c>
    </row>
    <row r="178" spans="1:5" x14ac:dyDescent="0.2">
      <c r="A178" t="s">
        <v>2880</v>
      </c>
      <c r="B178" t="s">
        <v>792</v>
      </c>
      <c r="C178">
        <v>48.841094056300001</v>
      </c>
      <c r="D178">
        <v>2.2879457665</v>
      </c>
      <c r="E178" t="s">
        <v>686</v>
      </c>
    </row>
    <row r="179" spans="1:5" x14ac:dyDescent="0.2">
      <c r="A179" t="s">
        <v>2881</v>
      </c>
      <c r="B179" t="s">
        <v>793</v>
      </c>
      <c r="C179">
        <v>48.842746779800002</v>
      </c>
      <c r="D179">
        <v>2.29191241332</v>
      </c>
      <c r="E179" t="s">
        <v>687</v>
      </c>
    </row>
    <row r="180" spans="1:5" x14ac:dyDescent="0.2">
      <c r="A180" t="s">
        <v>2882</v>
      </c>
      <c r="B180" t="s">
        <v>794</v>
      </c>
      <c r="C180">
        <v>48.844794764600003</v>
      </c>
      <c r="D180">
        <v>2.2939519636400001</v>
      </c>
      <c r="E180" t="s">
        <v>688</v>
      </c>
    </row>
    <row r="181" spans="1:5" x14ac:dyDescent="0.2">
      <c r="A181" t="s">
        <v>2883</v>
      </c>
      <c r="B181" t="s">
        <v>795</v>
      </c>
      <c r="C181">
        <v>48.854682156899997</v>
      </c>
      <c r="D181">
        <v>2.3060974036999999</v>
      </c>
      <c r="E181" t="s">
        <v>690</v>
      </c>
    </row>
    <row r="182" spans="1:5" x14ac:dyDescent="0.2">
      <c r="A182" t="s">
        <v>2884</v>
      </c>
      <c r="B182" t="s">
        <v>796</v>
      </c>
      <c r="C182">
        <v>48.857725412900002</v>
      </c>
      <c r="D182">
        <v>2.31056596095</v>
      </c>
      <c r="E182" t="s">
        <v>691</v>
      </c>
    </row>
    <row r="183" spans="1:5" x14ac:dyDescent="0.2">
      <c r="A183" t="s">
        <v>2885</v>
      </c>
      <c r="B183" t="s">
        <v>797</v>
      </c>
      <c r="C183">
        <v>48.862345016600003</v>
      </c>
      <c r="D183">
        <v>2.31452400499</v>
      </c>
      <c r="E183" t="s">
        <v>1516</v>
      </c>
    </row>
    <row r="184" spans="1:5" x14ac:dyDescent="0.2">
      <c r="A184" t="s">
        <v>2886</v>
      </c>
      <c r="B184" t="s">
        <v>798</v>
      </c>
      <c r="C184">
        <v>48.8702667369</v>
      </c>
      <c r="D184">
        <v>2.3257354135375001</v>
      </c>
      <c r="E184" t="s">
        <v>1520</v>
      </c>
    </row>
    <row r="185" spans="1:5" x14ac:dyDescent="0.2">
      <c r="A185" t="s">
        <v>2887</v>
      </c>
      <c r="B185" t="s">
        <v>799</v>
      </c>
      <c r="C185">
        <v>48.87196947735</v>
      </c>
      <c r="D185">
        <v>2.3390727929950001</v>
      </c>
      <c r="E185" t="s">
        <v>1491</v>
      </c>
    </row>
    <row r="186" spans="1:5" x14ac:dyDescent="0.2">
      <c r="A186" t="s">
        <v>2888</v>
      </c>
      <c r="B186" t="s">
        <v>800</v>
      </c>
      <c r="C186">
        <v>48.871497739399999</v>
      </c>
      <c r="D186">
        <v>2.3431547730800002</v>
      </c>
      <c r="E186" t="s">
        <v>1492</v>
      </c>
    </row>
    <row r="187" spans="1:5" x14ac:dyDescent="0.2">
      <c r="A187" t="s">
        <v>2889</v>
      </c>
      <c r="B187" t="s">
        <v>801</v>
      </c>
      <c r="C187">
        <v>48.8701642009</v>
      </c>
      <c r="D187">
        <v>2.3504979718599999</v>
      </c>
      <c r="E187" t="s">
        <v>1493</v>
      </c>
    </row>
    <row r="188" spans="1:5" x14ac:dyDescent="0.2">
      <c r="A188" t="s">
        <v>2890</v>
      </c>
      <c r="B188" t="s">
        <v>802</v>
      </c>
      <c r="C188">
        <v>48.863257945000001</v>
      </c>
      <c r="D188">
        <v>2.36666109472</v>
      </c>
      <c r="E188" t="s">
        <v>701</v>
      </c>
    </row>
    <row r="189" spans="1:5" x14ac:dyDescent="0.2">
      <c r="A189" t="s">
        <v>2891</v>
      </c>
      <c r="B189" t="s">
        <v>803</v>
      </c>
      <c r="C189">
        <v>48.861168865499998</v>
      </c>
      <c r="D189">
        <v>2.3672108664099998</v>
      </c>
      <c r="E189" t="s">
        <v>702</v>
      </c>
    </row>
    <row r="190" spans="1:5" x14ac:dyDescent="0.2">
      <c r="A190" t="s">
        <v>2892</v>
      </c>
      <c r="B190" t="s">
        <v>804</v>
      </c>
      <c r="C190">
        <v>48.857420037499999</v>
      </c>
      <c r="D190">
        <v>2.3681082907</v>
      </c>
      <c r="E190" t="s">
        <v>703</v>
      </c>
    </row>
    <row r="191" spans="1:5" x14ac:dyDescent="0.2">
      <c r="A191" t="s">
        <v>2893</v>
      </c>
      <c r="B191" t="s">
        <v>805</v>
      </c>
      <c r="C191">
        <v>48.8512711264</v>
      </c>
      <c r="D191">
        <v>2.37611877334</v>
      </c>
      <c r="E191" t="s">
        <v>705</v>
      </c>
    </row>
    <row r="192" spans="1:5" x14ac:dyDescent="0.2">
      <c r="A192" t="s">
        <v>2894</v>
      </c>
      <c r="B192" t="s">
        <v>806</v>
      </c>
      <c r="C192">
        <v>48.850177861900001</v>
      </c>
      <c r="D192">
        <v>2.3840922100699999</v>
      </c>
      <c r="E192" t="s">
        <v>706</v>
      </c>
    </row>
    <row r="193" spans="1:5" x14ac:dyDescent="0.2">
      <c r="A193" t="s">
        <v>2895</v>
      </c>
      <c r="B193" t="s">
        <v>807</v>
      </c>
      <c r="C193">
        <v>48.844408672100002</v>
      </c>
      <c r="D193">
        <v>2.39007511282</v>
      </c>
      <c r="E193" t="s">
        <v>708</v>
      </c>
    </row>
    <row r="194" spans="1:5" x14ac:dyDescent="0.2">
      <c r="A194" t="s">
        <v>2896</v>
      </c>
      <c r="B194" t="s">
        <v>809</v>
      </c>
      <c r="C194">
        <v>48.837117007000003</v>
      </c>
      <c r="D194">
        <v>2.40233316592</v>
      </c>
      <c r="E194" t="s">
        <v>710</v>
      </c>
    </row>
    <row r="195" spans="1:5" x14ac:dyDescent="0.2">
      <c r="A195" t="s">
        <v>2897</v>
      </c>
      <c r="B195" t="s">
        <v>810</v>
      </c>
      <c r="C195">
        <v>48.835153683199998</v>
      </c>
      <c r="D195">
        <v>2.406020178885</v>
      </c>
      <c r="E195" t="s">
        <v>2301</v>
      </c>
    </row>
    <row r="196" spans="1:5" x14ac:dyDescent="0.2">
      <c r="A196" t="s">
        <v>2898</v>
      </c>
      <c r="B196" t="s">
        <v>811</v>
      </c>
      <c r="C196">
        <v>48.832578007850003</v>
      </c>
      <c r="D196">
        <v>2.3998990790449999</v>
      </c>
      <c r="E196" t="s">
        <v>2300</v>
      </c>
    </row>
    <row r="197" spans="1:5" x14ac:dyDescent="0.2">
      <c r="A197" t="s">
        <v>2899</v>
      </c>
      <c r="B197" t="s">
        <v>812</v>
      </c>
      <c r="C197">
        <v>48.826054996499998</v>
      </c>
      <c r="D197">
        <v>2.40674222593</v>
      </c>
      <c r="E197" t="s">
        <v>713</v>
      </c>
    </row>
    <row r="198" spans="1:5" x14ac:dyDescent="0.2">
      <c r="A198" t="s">
        <v>2900</v>
      </c>
      <c r="B198" t="s">
        <v>813</v>
      </c>
      <c r="C198">
        <v>48.821595767300003</v>
      </c>
      <c r="D198">
        <v>2.41373751752</v>
      </c>
      <c r="E198" t="s">
        <v>714</v>
      </c>
    </row>
    <row r="199" spans="1:5" x14ac:dyDescent="0.2">
      <c r="A199" t="s">
        <v>2901</v>
      </c>
      <c r="B199" t="s">
        <v>814</v>
      </c>
      <c r="C199">
        <v>48.814803007000002</v>
      </c>
      <c r="D199">
        <v>2.4223761428500001</v>
      </c>
      <c r="E199" t="s">
        <v>715</v>
      </c>
    </row>
    <row r="200" spans="1:5" x14ac:dyDescent="0.2">
      <c r="A200" t="s">
        <v>2902</v>
      </c>
      <c r="B200" t="s">
        <v>815</v>
      </c>
      <c r="C200">
        <v>48.8091443609</v>
      </c>
      <c r="D200">
        <v>2.4345098959299998</v>
      </c>
      <c r="E200" t="s">
        <v>716</v>
      </c>
    </row>
    <row r="201" spans="1:5" x14ac:dyDescent="0.2">
      <c r="A201" t="s">
        <v>2903</v>
      </c>
      <c r="B201" t="s">
        <v>816</v>
      </c>
      <c r="C201">
        <v>48.802637690700003</v>
      </c>
      <c r="D201">
        <v>2.4469274842400002</v>
      </c>
      <c r="E201" t="s">
        <v>717</v>
      </c>
    </row>
    <row r="202" spans="1:5" x14ac:dyDescent="0.2">
      <c r="A202" t="s">
        <v>2904</v>
      </c>
      <c r="B202" t="s">
        <v>817</v>
      </c>
      <c r="C202">
        <v>48.796740766600003</v>
      </c>
      <c r="D202">
        <v>2.4494331756899999</v>
      </c>
      <c r="E202" t="s">
        <v>718</v>
      </c>
    </row>
    <row r="203" spans="1:5" x14ac:dyDescent="0.2">
      <c r="A203" t="s">
        <v>2905</v>
      </c>
      <c r="B203" t="s">
        <v>818</v>
      </c>
      <c r="C203">
        <v>48.7899783103</v>
      </c>
      <c r="D203">
        <v>2.4504531779200001</v>
      </c>
      <c r="E203" t="s">
        <v>719</v>
      </c>
    </row>
    <row r="204" spans="1:5" x14ac:dyDescent="0.2">
      <c r="A204" t="s">
        <v>2906</v>
      </c>
      <c r="B204" t="s">
        <v>819</v>
      </c>
      <c r="C204">
        <v>48.779905317000001</v>
      </c>
      <c r="D204">
        <v>2.4593683962599999</v>
      </c>
      <c r="E204" t="s">
        <v>720</v>
      </c>
    </row>
    <row r="205" spans="1:5" x14ac:dyDescent="0.2">
      <c r="A205" t="s">
        <v>2907</v>
      </c>
      <c r="B205" t="s">
        <v>820</v>
      </c>
      <c r="C205">
        <v>48.768715125299998</v>
      </c>
      <c r="D205">
        <v>2.4645649932100002</v>
      </c>
      <c r="E205" t="s">
        <v>721</v>
      </c>
    </row>
    <row r="206" spans="1:5" x14ac:dyDescent="0.2">
      <c r="A206" t="s">
        <v>2908</v>
      </c>
      <c r="B206" t="s">
        <v>895</v>
      </c>
      <c r="C206">
        <v>48.829674843799999</v>
      </c>
      <c r="D206">
        <v>2.2307995913199998</v>
      </c>
      <c r="E206" t="s">
        <v>722</v>
      </c>
    </row>
    <row r="207" spans="1:5" x14ac:dyDescent="0.2">
      <c r="A207" t="s">
        <v>2909</v>
      </c>
      <c r="B207" t="s">
        <v>896</v>
      </c>
      <c r="C207">
        <v>48.832110560099999</v>
      </c>
      <c r="D207">
        <v>2.23863934858</v>
      </c>
      <c r="E207" t="s">
        <v>723</v>
      </c>
    </row>
    <row r="208" spans="1:5" x14ac:dyDescent="0.2">
      <c r="A208" t="s">
        <v>2910</v>
      </c>
      <c r="B208" t="s">
        <v>897</v>
      </c>
      <c r="C208">
        <v>48.833708849099999</v>
      </c>
      <c r="D208">
        <v>2.2438405923800002</v>
      </c>
      <c r="E208" t="s">
        <v>724</v>
      </c>
    </row>
    <row r="209" spans="1:5" x14ac:dyDescent="0.2">
      <c r="A209" t="s">
        <v>2911</v>
      </c>
      <c r="B209" t="s">
        <v>898</v>
      </c>
      <c r="C209">
        <v>48.837961213500002</v>
      </c>
      <c r="D209">
        <v>2.2571222298500002</v>
      </c>
      <c r="E209" t="s">
        <v>725</v>
      </c>
    </row>
    <row r="210" spans="1:5" x14ac:dyDescent="0.2">
      <c r="A210" t="s">
        <v>2912</v>
      </c>
      <c r="B210" t="s">
        <v>899</v>
      </c>
      <c r="C210">
        <v>48.842938695900003</v>
      </c>
      <c r="D210">
        <v>2.2600329022099999</v>
      </c>
      <c r="E210" t="s">
        <v>726</v>
      </c>
    </row>
    <row r="211" spans="1:5" x14ac:dyDescent="0.2">
      <c r="A211" t="s">
        <v>2913</v>
      </c>
      <c r="B211" t="s">
        <v>900</v>
      </c>
      <c r="C211">
        <v>48.845152868900001</v>
      </c>
      <c r="D211">
        <v>2.26168430868</v>
      </c>
      <c r="E211" t="s">
        <v>1498</v>
      </c>
    </row>
    <row r="212" spans="1:5" x14ac:dyDescent="0.2">
      <c r="A212" t="s">
        <v>2914</v>
      </c>
      <c r="B212" t="s">
        <v>901</v>
      </c>
      <c r="C212">
        <v>48.847915229050002</v>
      </c>
      <c r="D212">
        <v>2.2641504039</v>
      </c>
      <c r="E212" t="s">
        <v>1497</v>
      </c>
    </row>
    <row r="213" spans="1:5" x14ac:dyDescent="0.2">
      <c r="A213" t="s">
        <v>2915</v>
      </c>
      <c r="B213" t="s">
        <v>902</v>
      </c>
      <c r="C213">
        <v>48.8525040906</v>
      </c>
      <c r="D213">
        <v>2.2681767494399998</v>
      </c>
      <c r="E213" t="s">
        <v>729</v>
      </c>
    </row>
    <row r="214" spans="1:5" x14ac:dyDescent="0.2">
      <c r="A214" t="s">
        <v>2916</v>
      </c>
      <c r="B214" t="s">
        <v>903</v>
      </c>
      <c r="C214">
        <v>48.855485050399999</v>
      </c>
      <c r="D214">
        <v>2.2701091389400001</v>
      </c>
      <c r="E214" t="s">
        <v>730</v>
      </c>
    </row>
    <row r="215" spans="1:5" x14ac:dyDescent="0.2">
      <c r="A215" t="s">
        <v>2917</v>
      </c>
      <c r="B215" t="s">
        <v>905</v>
      </c>
      <c r="C215">
        <v>48.858046056299997</v>
      </c>
      <c r="D215">
        <v>2.27415463109</v>
      </c>
      <c r="E215" t="s">
        <v>731</v>
      </c>
    </row>
    <row r="216" spans="1:5" x14ac:dyDescent="0.2">
      <c r="A216" t="s">
        <v>2918</v>
      </c>
      <c r="B216" t="s">
        <v>906</v>
      </c>
      <c r="C216">
        <v>48.863974445799997</v>
      </c>
      <c r="D216">
        <v>2.2781125584500002</v>
      </c>
      <c r="E216" t="s">
        <v>732</v>
      </c>
    </row>
    <row r="217" spans="1:5" x14ac:dyDescent="0.2">
      <c r="A217" t="s">
        <v>2919</v>
      </c>
      <c r="B217" t="s">
        <v>907</v>
      </c>
      <c r="C217">
        <v>48.864794065799998</v>
      </c>
      <c r="D217">
        <v>2.2941620181100002</v>
      </c>
      <c r="E217" t="s">
        <v>734</v>
      </c>
    </row>
    <row r="218" spans="1:5" x14ac:dyDescent="0.2">
      <c r="A218" t="s">
        <v>2920</v>
      </c>
      <c r="B218" t="s">
        <v>908</v>
      </c>
      <c r="C218">
        <v>48.864766844999998</v>
      </c>
      <c r="D218">
        <v>2.3009910035000001</v>
      </c>
      <c r="E218" t="s">
        <v>735</v>
      </c>
    </row>
    <row r="219" spans="1:5" x14ac:dyDescent="0.2">
      <c r="A219" t="s">
        <v>2921</v>
      </c>
      <c r="B219" t="s">
        <v>909</v>
      </c>
      <c r="C219">
        <v>48.872422383699998</v>
      </c>
      <c r="D219">
        <v>2.3100383446200001</v>
      </c>
      <c r="E219" t="s">
        <v>737</v>
      </c>
    </row>
    <row r="220" spans="1:5" x14ac:dyDescent="0.2">
      <c r="A220" t="s">
        <v>2922</v>
      </c>
      <c r="B220" t="s">
        <v>910</v>
      </c>
      <c r="C220">
        <v>48.873739758200003</v>
      </c>
      <c r="D220">
        <v>2.3145311789049998</v>
      </c>
      <c r="E220" t="s">
        <v>1514</v>
      </c>
    </row>
    <row r="221" spans="1:5" x14ac:dyDescent="0.2">
      <c r="A221" t="s">
        <v>2923</v>
      </c>
      <c r="B221" t="s">
        <v>911</v>
      </c>
      <c r="C221">
        <v>48.874558384700002</v>
      </c>
      <c r="D221">
        <v>2.3213619281</v>
      </c>
      <c r="E221" t="s">
        <v>740</v>
      </c>
    </row>
    <row r="222" spans="1:5" x14ac:dyDescent="0.2">
      <c r="A222" t="s">
        <v>2924</v>
      </c>
      <c r="B222" t="s">
        <v>912</v>
      </c>
      <c r="C222">
        <v>48.861019259899997</v>
      </c>
      <c r="D222">
        <v>2.3747334312800001</v>
      </c>
      <c r="E222" t="s">
        <v>748</v>
      </c>
    </row>
    <row r="223" spans="1:5" x14ac:dyDescent="0.2">
      <c r="A223" t="s">
        <v>2925</v>
      </c>
      <c r="B223" t="s">
        <v>913</v>
      </c>
      <c r="C223">
        <v>48.857453722700001</v>
      </c>
      <c r="D223">
        <v>2.3807187858600001</v>
      </c>
      <c r="E223" t="s">
        <v>749</v>
      </c>
    </row>
    <row r="224" spans="1:5" x14ac:dyDescent="0.2">
      <c r="A224" t="s">
        <v>2926</v>
      </c>
      <c r="B224" t="s">
        <v>914</v>
      </c>
      <c r="C224">
        <v>48.854580499100003</v>
      </c>
      <c r="D224">
        <v>2.3855634808200001</v>
      </c>
      <c r="E224" t="s">
        <v>750</v>
      </c>
    </row>
    <row r="225" spans="1:5" x14ac:dyDescent="0.2">
      <c r="A225" t="s">
        <v>2927</v>
      </c>
      <c r="B225" t="s">
        <v>915</v>
      </c>
      <c r="C225">
        <v>48.852315427400001</v>
      </c>
      <c r="D225">
        <v>2.3893781279200001</v>
      </c>
      <c r="E225" t="s">
        <v>751</v>
      </c>
    </row>
    <row r="226" spans="1:5" x14ac:dyDescent="0.2">
      <c r="A226" t="s">
        <v>2928</v>
      </c>
      <c r="B226" t="s">
        <v>916</v>
      </c>
      <c r="C226">
        <v>48.851812133000003</v>
      </c>
      <c r="D226">
        <v>2.4010222705199999</v>
      </c>
      <c r="E226" t="s">
        <v>753</v>
      </c>
    </row>
    <row r="227" spans="1:5" x14ac:dyDescent="0.2">
      <c r="A227" t="s">
        <v>2929</v>
      </c>
      <c r="B227" t="s">
        <v>917</v>
      </c>
      <c r="C227">
        <v>48.852725119299997</v>
      </c>
      <c r="D227">
        <v>2.4060891618800002</v>
      </c>
      <c r="E227" t="s">
        <v>754</v>
      </c>
    </row>
    <row r="228" spans="1:5" x14ac:dyDescent="0.2">
      <c r="A228" t="s">
        <v>2930</v>
      </c>
      <c r="B228" t="s">
        <v>918</v>
      </c>
      <c r="C228">
        <v>48.853265597000004</v>
      </c>
      <c r="D228">
        <v>2.4106837809349999</v>
      </c>
      <c r="E228" t="s">
        <v>2303</v>
      </c>
    </row>
    <row r="229" spans="1:5" x14ac:dyDescent="0.2">
      <c r="A229" t="s">
        <v>2931</v>
      </c>
      <c r="B229" t="s">
        <v>919</v>
      </c>
      <c r="C229">
        <v>48.855726428600001</v>
      </c>
      <c r="D229">
        <v>2.42298321615</v>
      </c>
      <c r="E229" t="s">
        <v>756</v>
      </c>
    </row>
    <row r="230" spans="1:5" x14ac:dyDescent="0.2">
      <c r="A230" t="s">
        <v>2932</v>
      </c>
      <c r="B230" t="s">
        <v>920</v>
      </c>
      <c r="C230">
        <v>48.857965591199999</v>
      </c>
      <c r="D230">
        <v>2.4355557156900001</v>
      </c>
      <c r="E230" t="s">
        <v>757</v>
      </c>
    </row>
    <row r="231" spans="1:5" x14ac:dyDescent="0.2">
      <c r="A231" t="s">
        <v>2933</v>
      </c>
      <c r="B231" t="s">
        <v>921</v>
      </c>
      <c r="C231">
        <v>48.861936914099999</v>
      </c>
      <c r="D231">
        <v>2.4413109412499998</v>
      </c>
      <c r="E231" t="s">
        <v>758</v>
      </c>
    </row>
    <row r="232" spans="1:5" x14ac:dyDescent="0.2">
      <c r="A232" t="s">
        <v>2934</v>
      </c>
      <c r="B232" t="s">
        <v>1051</v>
      </c>
      <c r="C232">
        <v>48.8407450152</v>
      </c>
      <c r="D232">
        <v>2.2285369815</v>
      </c>
      <c r="E232" t="s">
        <v>759</v>
      </c>
    </row>
    <row r="233" spans="1:5" x14ac:dyDescent="0.2">
      <c r="A233" t="s">
        <v>2935</v>
      </c>
      <c r="B233" t="s">
        <v>1052</v>
      </c>
      <c r="C233">
        <v>48.842005347300002</v>
      </c>
      <c r="D233">
        <v>2.2388873257899999</v>
      </c>
      <c r="E233" t="s">
        <v>760</v>
      </c>
    </row>
    <row r="234" spans="1:5" x14ac:dyDescent="0.2">
      <c r="A234" t="s">
        <v>2936</v>
      </c>
      <c r="B234" t="s">
        <v>1053</v>
      </c>
      <c r="C234">
        <v>48.8479715406</v>
      </c>
      <c r="D234">
        <v>2.2577446803800001</v>
      </c>
      <c r="E234" t="s">
        <v>761</v>
      </c>
    </row>
    <row r="235" spans="1:5" x14ac:dyDescent="0.2">
      <c r="A235" t="s">
        <v>2937</v>
      </c>
      <c r="B235" t="s">
        <v>1054</v>
      </c>
      <c r="C235">
        <v>48.847150055699998</v>
      </c>
      <c r="D235">
        <v>2.2691358727300002</v>
      </c>
      <c r="E235" t="s">
        <v>763</v>
      </c>
    </row>
    <row r="236" spans="1:5" x14ac:dyDescent="0.2">
      <c r="A236" t="s">
        <v>2938</v>
      </c>
      <c r="B236" t="s">
        <v>1055</v>
      </c>
      <c r="C236">
        <v>48.845204703599997</v>
      </c>
      <c r="D236">
        <v>2.26644154308</v>
      </c>
      <c r="E236" t="s">
        <v>765</v>
      </c>
    </row>
    <row r="237" spans="1:5" x14ac:dyDescent="0.2">
      <c r="A237" t="s">
        <v>2939</v>
      </c>
      <c r="B237" t="s">
        <v>1056</v>
      </c>
      <c r="C237">
        <v>48.847131008200002</v>
      </c>
      <c r="D237">
        <v>2.27276375332</v>
      </c>
      <c r="E237" t="s">
        <v>766</v>
      </c>
    </row>
    <row r="238" spans="1:5" x14ac:dyDescent="0.2">
      <c r="A238" t="s">
        <v>2940</v>
      </c>
      <c r="B238" t="s">
        <v>1057</v>
      </c>
      <c r="C238">
        <v>48.846123666899999</v>
      </c>
      <c r="D238">
        <v>2.27771173983</v>
      </c>
      <c r="E238" t="s">
        <v>767</v>
      </c>
    </row>
    <row r="239" spans="1:5" x14ac:dyDescent="0.2">
      <c r="A239" t="s">
        <v>2941</v>
      </c>
      <c r="B239" t="s">
        <v>1058</v>
      </c>
      <c r="C239">
        <v>48.8465346367</v>
      </c>
      <c r="D239">
        <v>2.2859992234200002</v>
      </c>
      <c r="E239" t="s">
        <v>768</v>
      </c>
    </row>
    <row r="240" spans="1:5" x14ac:dyDescent="0.2">
      <c r="A240" t="s">
        <v>2942</v>
      </c>
      <c r="B240" t="s">
        <v>1059</v>
      </c>
      <c r="C240">
        <v>48.8470195819</v>
      </c>
      <c r="D240">
        <v>2.29542047803</v>
      </c>
      <c r="E240" t="s">
        <v>1377</v>
      </c>
    </row>
    <row r="241" spans="1:5" x14ac:dyDescent="0.2">
      <c r="A241" t="s">
        <v>2943</v>
      </c>
      <c r="B241" t="s">
        <v>1060</v>
      </c>
      <c r="C241">
        <v>48.847066133200002</v>
      </c>
      <c r="D241">
        <v>2.3074022406200001</v>
      </c>
      <c r="E241" t="s">
        <v>958</v>
      </c>
    </row>
    <row r="242" spans="1:5" x14ac:dyDescent="0.2">
      <c r="A242" t="s">
        <v>2944</v>
      </c>
      <c r="B242" t="s">
        <v>1061</v>
      </c>
      <c r="C242">
        <v>48.847020830299996</v>
      </c>
      <c r="D242">
        <v>2.3167147939000001</v>
      </c>
      <c r="E242" t="s">
        <v>1517</v>
      </c>
    </row>
    <row r="243" spans="1:5" x14ac:dyDescent="0.2">
      <c r="A243" t="s">
        <v>2945</v>
      </c>
      <c r="B243" t="s">
        <v>1062</v>
      </c>
      <c r="C243">
        <v>48.848816372500004</v>
      </c>
      <c r="D243">
        <v>2.32125786291</v>
      </c>
      <c r="E243" t="s">
        <v>960</v>
      </c>
    </row>
    <row r="244" spans="1:5" x14ac:dyDescent="0.2">
      <c r="A244" t="s">
        <v>2946</v>
      </c>
      <c r="B244" t="s">
        <v>1178</v>
      </c>
      <c r="C244">
        <v>48.8514772009</v>
      </c>
      <c r="D244">
        <v>2.3266555214349998</v>
      </c>
      <c r="E244" t="s">
        <v>1511</v>
      </c>
    </row>
    <row r="245" spans="1:5" x14ac:dyDescent="0.2">
      <c r="A245" t="s">
        <v>2947</v>
      </c>
      <c r="B245" t="s">
        <v>1063</v>
      </c>
      <c r="C245">
        <v>48.853016767900002</v>
      </c>
      <c r="D245">
        <v>2.3355020530899999</v>
      </c>
      <c r="E245" t="s">
        <v>962</v>
      </c>
    </row>
    <row r="246" spans="1:5" x14ac:dyDescent="0.2">
      <c r="A246" t="s">
        <v>2948</v>
      </c>
      <c r="B246" t="s">
        <v>1064</v>
      </c>
      <c r="C246">
        <v>48.851050282300001</v>
      </c>
      <c r="D246">
        <v>2.34427334542</v>
      </c>
      <c r="E246" t="s">
        <v>964</v>
      </c>
    </row>
    <row r="247" spans="1:5" x14ac:dyDescent="0.2">
      <c r="A247" t="s">
        <v>2949</v>
      </c>
      <c r="B247" t="s">
        <v>1065</v>
      </c>
      <c r="C247">
        <v>48.850127323800002</v>
      </c>
      <c r="D247">
        <v>2.3480542904799999</v>
      </c>
      <c r="E247" t="s">
        <v>965</v>
      </c>
    </row>
    <row r="248" spans="1:5" x14ac:dyDescent="0.2">
      <c r="A248" t="s">
        <v>2950</v>
      </c>
      <c r="B248" t="s">
        <v>1066</v>
      </c>
      <c r="C248">
        <v>48.846656851299997</v>
      </c>
      <c r="D248">
        <v>2.3516232563799999</v>
      </c>
      <c r="E248" t="s">
        <v>966</v>
      </c>
    </row>
    <row r="249" spans="1:5" x14ac:dyDescent="0.2">
      <c r="A249" t="s">
        <v>2951</v>
      </c>
      <c r="B249" t="s">
        <v>1087</v>
      </c>
      <c r="C249">
        <v>48.857451832599999</v>
      </c>
      <c r="D249">
        <v>2.3510084613900002</v>
      </c>
      <c r="E249" t="s">
        <v>970</v>
      </c>
    </row>
    <row r="250" spans="1:5" x14ac:dyDescent="0.2">
      <c r="A250" t="s">
        <v>2952</v>
      </c>
      <c r="B250" t="s">
        <v>1088</v>
      </c>
      <c r="C250">
        <v>48.861204990300003</v>
      </c>
      <c r="D250">
        <v>2.3534957401300001</v>
      </c>
      <c r="E250" t="s">
        <v>971</v>
      </c>
    </row>
    <row r="251" spans="1:5" x14ac:dyDescent="0.2">
      <c r="A251" t="s">
        <v>2953</v>
      </c>
      <c r="B251" t="s">
        <v>1089</v>
      </c>
      <c r="C251">
        <v>48.869957512699997</v>
      </c>
      <c r="D251">
        <v>2.37109483973</v>
      </c>
      <c r="E251" t="s">
        <v>974</v>
      </c>
    </row>
    <row r="252" spans="1:5" x14ac:dyDescent="0.2">
      <c r="A252" t="s">
        <v>2954</v>
      </c>
      <c r="B252" t="s">
        <v>1090</v>
      </c>
      <c r="C252">
        <v>48.8738818542</v>
      </c>
      <c r="D252">
        <v>2.3853162151</v>
      </c>
      <c r="E252" t="s">
        <v>976</v>
      </c>
    </row>
    <row r="253" spans="1:5" x14ac:dyDescent="0.2">
      <c r="A253" t="s">
        <v>2955</v>
      </c>
      <c r="B253" t="s">
        <v>1091</v>
      </c>
      <c r="C253">
        <v>48.875111816999997</v>
      </c>
      <c r="D253">
        <v>2.3894150320400001</v>
      </c>
      <c r="E253" t="s">
        <v>977</v>
      </c>
    </row>
    <row r="254" spans="1:5" x14ac:dyDescent="0.2">
      <c r="A254" t="s">
        <v>2956</v>
      </c>
      <c r="B254" t="s">
        <v>1092</v>
      </c>
      <c r="C254">
        <v>48.875474456699997</v>
      </c>
      <c r="D254">
        <v>2.3988675938999999</v>
      </c>
      <c r="E254" t="s">
        <v>979</v>
      </c>
    </row>
    <row r="255" spans="1:5" x14ac:dyDescent="0.2">
      <c r="A255" t="s">
        <v>2957</v>
      </c>
      <c r="B255" t="s">
        <v>1093</v>
      </c>
      <c r="C255">
        <v>48.879761254000002</v>
      </c>
      <c r="D255">
        <v>2.4164796436699998</v>
      </c>
      <c r="E255" t="s">
        <v>981</v>
      </c>
    </row>
    <row r="256" spans="1:5" x14ac:dyDescent="0.2">
      <c r="A256" t="s">
        <v>2958</v>
      </c>
      <c r="B256" t="s">
        <v>1166</v>
      </c>
      <c r="C256">
        <v>48.906567146</v>
      </c>
      <c r="D256">
        <v>2.3659203193999998</v>
      </c>
      <c r="E256" t="s">
        <v>982</v>
      </c>
    </row>
    <row r="257" spans="1:5" x14ac:dyDescent="0.2">
      <c r="A257" t="s">
        <v>2959</v>
      </c>
      <c r="B257" t="s">
        <v>1167</v>
      </c>
      <c r="C257">
        <v>48.897818706449996</v>
      </c>
      <c r="D257">
        <v>2.35894166908</v>
      </c>
      <c r="E257" t="s">
        <v>2309</v>
      </c>
    </row>
    <row r="258" spans="1:5" x14ac:dyDescent="0.2">
      <c r="A258" t="s">
        <v>2960</v>
      </c>
      <c r="B258" t="s">
        <v>1168</v>
      </c>
      <c r="C258">
        <v>48.890485453799997</v>
      </c>
      <c r="D258">
        <v>2.35999576641</v>
      </c>
      <c r="E258" t="s">
        <v>984</v>
      </c>
    </row>
    <row r="259" spans="1:5" x14ac:dyDescent="0.2">
      <c r="A259" t="s">
        <v>2961</v>
      </c>
      <c r="B259" t="s">
        <v>1169</v>
      </c>
      <c r="C259">
        <v>48.892439590499997</v>
      </c>
      <c r="D259">
        <v>2.3446570041300001</v>
      </c>
      <c r="E259" t="s">
        <v>986</v>
      </c>
    </row>
    <row r="260" spans="1:5" x14ac:dyDescent="0.2">
      <c r="A260" t="s">
        <v>2962</v>
      </c>
      <c r="B260" t="s">
        <v>1170</v>
      </c>
      <c r="C260">
        <v>48.889674071199998</v>
      </c>
      <c r="D260">
        <v>2.3387606492000002</v>
      </c>
      <c r="E260" t="s">
        <v>987</v>
      </c>
    </row>
    <row r="261" spans="1:5" x14ac:dyDescent="0.2">
      <c r="A261" t="s">
        <v>2963</v>
      </c>
      <c r="B261" t="s">
        <v>1171</v>
      </c>
      <c r="C261">
        <v>48.884594208000003</v>
      </c>
      <c r="D261">
        <v>2.33794977706</v>
      </c>
      <c r="E261" t="s">
        <v>988</v>
      </c>
    </row>
    <row r="262" spans="1:5" x14ac:dyDescent="0.2">
      <c r="A262" t="s">
        <v>2964</v>
      </c>
      <c r="B262" t="s">
        <v>1172</v>
      </c>
      <c r="C262">
        <v>48.8784252576</v>
      </c>
      <c r="D262">
        <v>2.3375950828200001</v>
      </c>
      <c r="E262" t="s">
        <v>990</v>
      </c>
    </row>
    <row r="263" spans="1:5" x14ac:dyDescent="0.2">
      <c r="A263" t="s">
        <v>2965</v>
      </c>
      <c r="B263" t="s">
        <v>1173</v>
      </c>
      <c r="C263">
        <v>48.876026211599999</v>
      </c>
      <c r="D263">
        <v>2.3378864890700002</v>
      </c>
      <c r="E263" t="s">
        <v>991</v>
      </c>
    </row>
    <row r="264" spans="1:5" x14ac:dyDescent="0.2">
      <c r="A264" t="s">
        <v>2966</v>
      </c>
      <c r="B264" t="s">
        <v>1174</v>
      </c>
      <c r="C264">
        <v>48.8763179623</v>
      </c>
      <c r="D264">
        <v>2.3325430272999998</v>
      </c>
      <c r="E264" t="s">
        <v>992</v>
      </c>
    </row>
    <row r="265" spans="1:5" x14ac:dyDescent="0.2">
      <c r="A265" t="s">
        <v>2967</v>
      </c>
      <c r="B265" t="s">
        <v>1175</v>
      </c>
      <c r="C265">
        <v>48.860786963499997</v>
      </c>
      <c r="D265">
        <v>2.3209981919499998</v>
      </c>
      <c r="E265" t="s">
        <v>996</v>
      </c>
    </row>
    <row r="266" spans="1:5" x14ac:dyDescent="0.2">
      <c r="A266" t="s">
        <v>2968</v>
      </c>
      <c r="B266" t="s">
        <v>1176</v>
      </c>
      <c r="C266">
        <v>48.858511129900002</v>
      </c>
      <c r="D266">
        <v>2.3231548558399999</v>
      </c>
      <c r="E266" t="s">
        <v>997</v>
      </c>
    </row>
    <row r="267" spans="1:5" x14ac:dyDescent="0.2">
      <c r="A267" t="s">
        <v>2969</v>
      </c>
      <c r="B267" t="s">
        <v>1177</v>
      </c>
      <c r="C267">
        <v>48.855550940199997</v>
      </c>
      <c r="D267">
        <v>2.3257124221700001</v>
      </c>
      <c r="E267" t="s">
        <v>998</v>
      </c>
    </row>
    <row r="268" spans="1:5" x14ac:dyDescent="0.2">
      <c r="A268" t="s">
        <v>2970</v>
      </c>
      <c r="B268" t="s">
        <v>1179</v>
      </c>
      <c r="C268">
        <v>48.848457848499997</v>
      </c>
      <c r="D268">
        <v>2.3277821271499999</v>
      </c>
      <c r="E268" t="s">
        <v>1000</v>
      </c>
    </row>
    <row r="269" spans="1:5" x14ac:dyDescent="0.2">
      <c r="A269" t="s">
        <v>2971</v>
      </c>
      <c r="B269" t="s">
        <v>1180</v>
      </c>
      <c r="C269">
        <v>48.8449426325</v>
      </c>
      <c r="D269">
        <v>2.3287780268999998</v>
      </c>
      <c r="E269" t="s">
        <v>1001</v>
      </c>
    </row>
    <row r="270" spans="1:5" x14ac:dyDescent="0.2">
      <c r="A270" t="s">
        <v>2972</v>
      </c>
      <c r="B270" t="s">
        <v>1181</v>
      </c>
      <c r="C270">
        <v>48.8444701413</v>
      </c>
      <c r="D270">
        <v>2.3178527830400002</v>
      </c>
      <c r="E270" t="s">
        <v>1003</v>
      </c>
    </row>
    <row r="271" spans="1:5" x14ac:dyDescent="0.2">
      <c r="A271" t="s">
        <v>2973</v>
      </c>
      <c r="B271" t="s">
        <v>1182</v>
      </c>
      <c r="C271">
        <v>48.841505522399999</v>
      </c>
      <c r="D271">
        <v>2.3079486793399999</v>
      </c>
      <c r="E271" t="s">
        <v>1005</v>
      </c>
    </row>
    <row r="272" spans="1:5" x14ac:dyDescent="0.2">
      <c r="A272" t="s">
        <v>2974</v>
      </c>
      <c r="B272" t="s">
        <v>1183</v>
      </c>
      <c r="C272">
        <v>48.839516585399998</v>
      </c>
      <c r="D272">
        <v>2.30110751488</v>
      </c>
      <c r="E272" t="s">
        <v>1006</v>
      </c>
    </row>
    <row r="273" spans="1:5" x14ac:dyDescent="0.2">
      <c r="A273" t="s">
        <v>2975</v>
      </c>
      <c r="B273" t="s">
        <v>1184</v>
      </c>
      <c r="C273">
        <v>48.837307494599997</v>
      </c>
      <c r="D273">
        <v>2.2966303432299999</v>
      </c>
      <c r="E273" t="s">
        <v>1007</v>
      </c>
    </row>
    <row r="274" spans="1:5" x14ac:dyDescent="0.2">
      <c r="A274" t="s">
        <v>2976</v>
      </c>
      <c r="B274" t="s">
        <v>1185</v>
      </c>
      <c r="C274">
        <v>48.832418827824995</v>
      </c>
      <c r="D274">
        <v>2.2878420488674998</v>
      </c>
      <c r="E274" t="s">
        <v>2294</v>
      </c>
    </row>
    <row r="275" spans="1:5" x14ac:dyDescent="0.2">
      <c r="A275" s="8" t="s">
        <v>2977</v>
      </c>
      <c r="B275" t="s">
        <v>1186</v>
      </c>
      <c r="C275">
        <v>48.8270854489</v>
      </c>
      <c r="D275">
        <v>2.2794116820500001</v>
      </c>
      <c r="E275" t="s">
        <v>1009</v>
      </c>
    </row>
    <row r="276" spans="1:5" x14ac:dyDescent="0.2">
      <c r="A276" t="s">
        <v>2978</v>
      </c>
      <c r="B276" t="s">
        <v>1187</v>
      </c>
      <c r="C276">
        <v>48.824105030699997</v>
      </c>
      <c r="D276">
        <v>2.27304152514</v>
      </c>
      <c r="E276" t="s">
        <v>1010</v>
      </c>
    </row>
    <row r="277" spans="1:5" x14ac:dyDescent="0.2">
      <c r="A277" t="s">
        <v>2979</v>
      </c>
      <c r="B277" t="s">
        <v>1216</v>
      </c>
      <c r="C277">
        <v>48.9458456578</v>
      </c>
      <c r="D277">
        <v>2.3645417634900001</v>
      </c>
      <c r="E277" t="s">
        <v>1011</v>
      </c>
    </row>
    <row r="278" spans="1:5" x14ac:dyDescent="0.2">
      <c r="A278" t="s">
        <v>2980</v>
      </c>
      <c r="B278" t="s">
        <v>1217</v>
      </c>
      <c r="C278">
        <v>48.937304733799998</v>
      </c>
      <c r="D278">
        <v>2.3600721523949999</v>
      </c>
      <c r="E278" t="s">
        <v>2289</v>
      </c>
    </row>
    <row r="279" spans="1:5" x14ac:dyDescent="0.2">
      <c r="A279" t="s">
        <v>2981</v>
      </c>
      <c r="B279" t="s">
        <v>2029</v>
      </c>
      <c r="C279">
        <v>48.929876158550002</v>
      </c>
      <c r="D279">
        <v>2.3566639325249996</v>
      </c>
      <c r="E279" t="s">
        <v>2317</v>
      </c>
    </row>
    <row r="280" spans="1:5" x14ac:dyDescent="0.2">
      <c r="A280" t="s">
        <v>2982</v>
      </c>
      <c r="B280" t="s">
        <v>1218</v>
      </c>
      <c r="C280">
        <v>48.919573074100001</v>
      </c>
      <c r="D280">
        <v>2.3433059305100001</v>
      </c>
      <c r="E280" t="s">
        <v>1014</v>
      </c>
    </row>
    <row r="281" spans="1:5" x14ac:dyDescent="0.2">
      <c r="A281" t="s">
        <v>2983</v>
      </c>
      <c r="B281" t="s">
        <v>1219</v>
      </c>
      <c r="C281">
        <v>48.911964897899999</v>
      </c>
      <c r="D281">
        <v>2.3339248904800001</v>
      </c>
      <c r="E281" t="s">
        <v>1015</v>
      </c>
    </row>
    <row r="282" spans="1:5" x14ac:dyDescent="0.2">
      <c r="A282" t="s">
        <v>2984</v>
      </c>
      <c r="B282" t="s">
        <v>1220</v>
      </c>
      <c r="C282">
        <v>48.906094050199997</v>
      </c>
      <c r="D282">
        <v>2.3318308379600001</v>
      </c>
      <c r="E282" t="s">
        <v>1016</v>
      </c>
    </row>
    <row r="283" spans="1:5" x14ac:dyDescent="0.2">
      <c r="A283" t="s">
        <v>2985</v>
      </c>
      <c r="B283" t="s">
        <v>1221</v>
      </c>
      <c r="C283">
        <v>48.897523307499995</v>
      </c>
      <c r="D283">
        <v>2.3293865736349999</v>
      </c>
      <c r="E283" t="s">
        <v>2311</v>
      </c>
    </row>
    <row r="284" spans="1:5" x14ac:dyDescent="0.2">
      <c r="A284" t="s">
        <v>2986</v>
      </c>
      <c r="B284" t="s">
        <v>1222</v>
      </c>
      <c r="C284">
        <v>48.892828853399998</v>
      </c>
      <c r="D284">
        <v>2.3274284585</v>
      </c>
      <c r="E284" t="s">
        <v>1018</v>
      </c>
    </row>
    <row r="285" spans="1:5" x14ac:dyDescent="0.2">
      <c r="A285" t="s">
        <v>2987</v>
      </c>
      <c r="B285" t="s">
        <v>1359</v>
      </c>
      <c r="C285">
        <v>48.926658996</v>
      </c>
      <c r="D285">
        <v>2.2850010674300001</v>
      </c>
      <c r="E285" t="s">
        <v>2288</v>
      </c>
    </row>
    <row r="286" spans="1:5" x14ac:dyDescent="0.2">
      <c r="A286" t="s">
        <v>2988</v>
      </c>
      <c r="B286" t="s">
        <v>1360</v>
      </c>
      <c r="C286">
        <v>48.930757003300002</v>
      </c>
      <c r="D286">
        <v>2.2841744482799999</v>
      </c>
      <c r="E286" t="s">
        <v>1362</v>
      </c>
    </row>
    <row r="287" spans="1:5" x14ac:dyDescent="0.2">
      <c r="A287" t="s">
        <v>2989</v>
      </c>
      <c r="B287" t="s">
        <v>1358</v>
      </c>
      <c r="C287">
        <v>48.916382309900001</v>
      </c>
      <c r="D287">
        <v>2.2946851116999998</v>
      </c>
      <c r="E287" t="s">
        <v>1019</v>
      </c>
    </row>
    <row r="288" spans="1:5" x14ac:dyDescent="0.2">
      <c r="A288" t="s">
        <v>2990</v>
      </c>
      <c r="B288" t="s">
        <v>1223</v>
      </c>
      <c r="C288">
        <v>48.903330094600001</v>
      </c>
      <c r="D288">
        <v>2.3059241498700001</v>
      </c>
      <c r="E288" t="s">
        <v>1020</v>
      </c>
    </row>
    <row r="289" spans="1:5" x14ac:dyDescent="0.2">
      <c r="A289" t="s">
        <v>2991</v>
      </c>
      <c r="B289" t="s">
        <v>1224</v>
      </c>
      <c r="C289">
        <v>48.894391563200003</v>
      </c>
      <c r="D289">
        <v>2.3139184066</v>
      </c>
      <c r="E289" t="s">
        <v>2312</v>
      </c>
    </row>
    <row r="290" spans="1:5" x14ac:dyDescent="0.2">
      <c r="A290" t="s">
        <v>2992</v>
      </c>
      <c r="B290" t="s">
        <v>1225</v>
      </c>
      <c r="C290">
        <v>48.890587186600001</v>
      </c>
      <c r="D290">
        <v>2.3201747557900001</v>
      </c>
      <c r="E290" t="s">
        <v>1022</v>
      </c>
    </row>
    <row r="291" spans="1:5" x14ac:dyDescent="0.2">
      <c r="A291" t="s">
        <v>2993</v>
      </c>
      <c r="B291" t="s">
        <v>1226</v>
      </c>
      <c r="C291">
        <v>48.887183946900002</v>
      </c>
      <c r="D291">
        <v>2.3257796748100001</v>
      </c>
      <c r="E291" t="s">
        <v>1023</v>
      </c>
    </row>
    <row r="292" spans="1:5" x14ac:dyDescent="0.2">
      <c r="A292" t="s">
        <v>2994</v>
      </c>
      <c r="B292" t="s">
        <v>1227</v>
      </c>
      <c r="C292">
        <v>48.8796347607</v>
      </c>
      <c r="D292">
        <v>2.3270222008900001</v>
      </c>
      <c r="E292" t="s">
        <v>1025</v>
      </c>
    </row>
    <row r="293" spans="1:5" x14ac:dyDescent="0.2">
      <c r="A293" t="s">
        <v>2995</v>
      </c>
      <c r="B293" t="s">
        <v>1228</v>
      </c>
      <c r="C293">
        <v>48.856871379200001</v>
      </c>
      <c r="D293">
        <v>2.3150566373200001</v>
      </c>
      <c r="E293" t="s">
        <v>1030</v>
      </c>
    </row>
    <row r="294" spans="1:5" x14ac:dyDescent="0.2">
      <c r="A294" t="s">
        <v>2996</v>
      </c>
      <c r="B294" t="s">
        <v>1229</v>
      </c>
      <c r="C294">
        <v>48.851441705600003</v>
      </c>
      <c r="D294">
        <v>2.3144081215000001</v>
      </c>
      <c r="E294" t="s">
        <v>1031</v>
      </c>
    </row>
    <row r="295" spans="1:5" x14ac:dyDescent="0.2">
      <c r="A295" t="s">
        <v>2997</v>
      </c>
      <c r="B295" t="s">
        <v>1230</v>
      </c>
      <c r="C295">
        <v>48.8386316462</v>
      </c>
      <c r="D295">
        <v>2.3224917498200002</v>
      </c>
      <c r="E295" t="s">
        <v>1034</v>
      </c>
    </row>
    <row r="296" spans="1:5" x14ac:dyDescent="0.2">
      <c r="A296" t="s">
        <v>2998</v>
      </c>
      <c r="B296" t="s">
        <v>1231</v>
      </c>
      <c r="C296">
        <v>48.833936392699997</v>
      </c>
      <c r="D296">
        <v>2.3180782854899999</v>
      </c>
      <c r="E296" t="s">
        <v>1035</v>
      </c>
    </row>
    <row r="297" spans="1:5" x14ac:dyDescent="0.2">
      <c r="A297" t="s">
        <v>2999</v>
      </c>
      <c r="B297" t="s">
        <v>1232</v>
      </c>
      <c r="C297">
        <v>48.831825649599999</v>
      </c>
      <c r="D297">
        <v>2.3141223234699999</v>
      </c>
      <c r="E297" t="s">
        <v>1036</v>
      </c>
    </row>
    <row r="298" spans="1:5" x14ac:dyDescent="0.2">
      <c r="A298" t="s">
        <v>3000</v>
      </c>
      <c r="B298" t="s">
        <v>1233</v>
      </c>
      <c r="C298">
        <v>48.827605201099999</v>
      </c>
      <c r="D298">
        <v>2.3060852980800002</v>
      </c>
      <c r="E298" t="s">
        <v>2295</v>
      </c>
    </row>
    <row r="299" spans="1:5" x14ac:dyDescent="0.2">
      <c r="A299" t="s">
        <v>3001</v>
      </c>
      <c r="B299" t="s">
        <v>1234</v>
      </c>
      <c r="C299">
        <v>48.822583706800003</v>
      </c>
      <c r="D299">
        <v>2.29846419197</v>
      </c>
      <c r="E299" t="s">
        <v>1038</v>
      </c>
    </row>
    <row r="300" spans="1:5" x14ac:dyDescent="0.2">
      <c r="A300" t="s">
        <v>3002</v>
      </c>
      <c r="B300" t="s">
        <v>1235</v>
      </c>
      <c r="C300">
        <v>48.815307531199998</v>
      </c>
      <c r="D300">
        <v>2.2970777983300001</v>
      </c>
      <c r="E300" t="s">
        <v>1039</v>
      </c>
    </row>
    <row r="301" spans="1:5" x14ac:dyDescent="0.2">
      <c r="A301" t="s">
        <v>3003</v>
      </c>
      <c r="B301" t="s">
        <v>1236</v>
      </c>
      <c r="C301">
        <v>48.810673791550002</v>
      </c>
      <c r="D301">
        <v>2.3010180149449999</v>
      </c>
      <c r="E301" t="s">
        <v>2314</v>
      </c>
    </row>
    <row r="302" spans="1:5" x14ac:dyDescent="0.2">
      <c r="A302" t="s">
        <v>3004</v>
      </c>
      <c r="B302" t="s">
        <v>1265</v>
      </c>
      <c r="C302">
        <v>48.833338559300003</v>
      </c>
      <c r="D302">
        <v>2.38663240207</v>
      </c>
      <c r="E302" t="s">
        <v>1047</v>
      </c>
    </row>
    <row r="303" spans="1:5" x14ac:dyDescent="0.2">
      <c r="A303" t="s">
        <v>3005</v>
      </c>
      <c r="B303" t="s">
        <v>1266</v>
      </c>
      <c r="C303">
        <v>48.829990281699999</v>
      </c>
      <c r="D303">
        <v>2.3757481443400001</v>
      </c>
      <c r="E303" t="s">
        <v>1048</v>
      </c>
    </row>
    <row r="304" spans="1:5" x14ac:dyDescent="0.2">
      <c r="A304" t="s">
        <v>3006</v>
      </c>
      <c r="B304" t="s">
        <v>1267</v>
      </c>
      <c r="C304">
        <v>48.827270835999997</v>
      </c>
      <c r="D304">
        <v>2.3680326477600002</v>
      </c>
      <c r="E304" t="s">
        <v>1049</v>
      </c>
    </row>
    <row r="305" spans="1:5" x14ac:dyDescent="0.2">
      <c r="A305" s="8" t="s">
        <v>3007</v>
      </c>
      <c r="B305" t="s">
        <v>1526</v>
      </c>
      <c r="C305">
        <v>48.931813996899997</v>
      </c>
      <c r="D305">
        <v>2.2886560059600001</v>
      </c>
      <c r="E305" t="s">
        <v>1559</v>
      </c>
    </row>
    <row r="306" spans="1:5" x14ac:dyDescent="0.2">
      <c r="A306" t="s">
        <v>3008</v>
      </c>
      <c r="B306" t="s">
        <v>1527</v>
      </c>
      <c r="C306">
        <v>48.933355382199998</v>
      </c>
      <c r="D306">
        <v>2.29460298939</v>
      </c>
      <c r="E306" t="s">
        <v>1560</v>
      </c>
    </row>
    <row r="307" spans="1:5" x14ac:dyDescent="0.2">
      <c r="A307" t="s">
        <v>3009</v>
      </c>
      <c r="B307" t="s">
        <v>1528</v>
      </c>
      <c r="C307">
        <v>48.933393832</v>
      </c>
      <c r="D307">
        <v>2.3005933993799998</v>
      </c>
      <c r="E307" t="s">
        <v>1561</v>
      </c>
    </row>
    <row r="308" spans="1:5" x14ac:dyDescent="0.2">
      <c r="A308" t="s">
        <v>3010</v>
      </c>
      <c r="B308" t="s">
        <v>1529</v>
      </c>
      <c r="C308">
        <v>48.933449840800002</v>
      </c>
      <c r="D308">
        <v>2.3070896535299998</v>
      </c>
      <c r="E308" t="s">
        <v>1562</v>
      </c>
    </row>
    <row r="309" spans="1:5" x14ac:dyDescent="0.2">
      <c r="A309" t="s">
        <v>3011</v>
      </c>
      <c r="B309" t="s">
        <v>1530</v>
      </c>
      <c r="C309">
        <v>48.933932028900003</v>
      </c>
      <c r="D309">
        <v>2.3131326405000001</v>
      </c>
      <c r="E309" t="s">
        <v>1563</v>
      </c>
    </row>
    <row r="310" spans="1:5" x14ac:dyDescent="0.2">
      <c r="A310" t="s">
        <v>3012</v>
      </c>
      <c r="B310" t="s">
        <v>1531</v>
      </c>
      <c r="C310">
        <v>48.934608567700003</v>
      </c>
      <c r="D310">
        <v>2.3214951981700001</v>
      </c>
      <c r="E310" t="s">
        <v>1564</v>
      </c>
    </row>
    <row r="311" spans="1:5" x14ac:dyDescent="0.2">
      <c r="A311" t="s">
        <v>3013</v>
      </c>
      <c r="B311" t="s">
        <v>1532</v>
      </c>
      <c r="C311">
        <v>48.934975826699997</v>
      </c>
      <c r="D311">
        <v>2.32679331227</v>
      </c>
      <c r="E311" t="s">
        <v>1565</v>
      </c>
    </row>
    <row r="312" spans="1:5" x14ac:dyDescent="0.2">
      <c r="A312" t="s">
        <v>3014</v>
      </c>
      <c r="B312" t="s">
        <v>1533</v>
      </c>
      <c r="C312">
        <v>48.935605709299999</v>
      </c>
      <c r="D312">
        <v>2.3343329131599999</v>
      </c>
      <c r="E312" t="s">
        <v>1566</v>
      </c>
    </row>
    <row r="313" spans="1:5" x14ac:dyDescent="0.2">
      <c r="A313" t="s">
        <v>3015</v>
      </c>
      <c r="B313" t="s">
        <v>1534</v>
      </c>
      <c r="C313">
        <v>48.935748042100002</v>
      </c>
      <c r="D313">
        <v>2.33910838701</v>
      </c>
      <c r="E313" t="s">
        <v>1567</v>
      </c>
    </row>
    <row r="314" spans="1:5" x14ac:dyDescent="0.2">
      <c r="A314" t="s">
        <v>3016</v>
      </c>
      <c r="B314" t="s">
        <v>1535</v>
      </c>
      <c r="C314">
        <v>48.935700419050001</v>
      </c>
      <c r="D314">
        <v>2.34715308509</v>
      </c>
      <c r="E314" t="s">
        <v>2316</v>
      </c>
    </row>
    <row r="315" spans="1:5" x14ac:dyDescent="0.2">
      <c r="A315" t="s">
        <v>3017</v>
      </c>
      <c r="B315" t="s">
        <v>1536</v>
      </c>
      <c r="C315">
        <v>48.937509896400002</v>
      </c>
      <c r="D315">
        <v>2.3504000185399998</v>
      </c>
      <c r="E315" t="s">
        <v>1569</v>
      </c>
    </row>
    <row r="316" spans="1:5" x14ac:dyDescent="0.2">
      <c r="A316" t="s">
        <v>3018</v>
      </c>
      <c r="B316" t="s">
        <v>1537</v>
      </c>
      <c r="C316">
        <v>48.938773966500001</v>
      </c>
      <c r="D316">
        <v>2.35611233892</v>
      </c>
      <c r="E316" t="s">
        <v>2313</v>
      </c>
    </row>
    <row r="317" spans="1:5" x14ac:dyDescent="0.2">
      <c r="A317" t="s">
        <v>3019</v>
      </c>
      <c r="B317" t="s">
        <v>1538</v>
      </c>
      <c r="C317">
        <v>48.936389147100002</v>
      </c>
      <c r="D317">
        <v>2.3636407022000001</v>
      </c>
      <c r="E317" t="s">
        <v>1572</v>
      </c>
    </row>
    <row r="318" spans="1:5" x14ac:dyDescent="0.2">
      <c r="A318" t="s">
        <v>3020</v>
      </c>
      <c r="B318" t="s">
        <v>1539</v>
      </c>
      <c r="C318">
        <v>48.933586403699998</v>
      </c>
      <c r="D318">
        <v>2.37108317162</v>
      </c>
      <c r="E318" t="s">
        <v>1573</v>
      </c>
    </row>
    <row r="319" spans="1:5" x14ac:dyDescent="0.2">
      <c r="A319" t="s">
        <v>3021</v>
      </c>
      <c r="B319" t="s">
        <v>1540</v>
      </c>
      <c r="C319">
        <v>48.931734825500001</v>
      </c>
      <c r="D319">
        <v>2.3782254904000002</v>
      </c>
      <c r="E319" t="s">
        <v>1574</v>
      </c>
    </row>
    <row r="320" spans="1:5" x14ac:dyDescent="0.2">
      <c r="A320" t="s">
        <v>3022</v>
      </c>
      <c r="B320" t="s">
        <v>1541</v>
      </c>
      <c r="C320">
        <v>48.9299710262</v>
      </c>
      <c r="D320">
        <v>2.3847588614399999</v>
      </c>
      <c r="E320" t="s">
        <v>1575</v>
      </c>
    </row>
    <row r="321" spans="1:5" x14ac:dyDescent="0.2">
      <c r="A321" t="s">
        <v>3023</v>
      </c>
      <c r="B321" t="s">
        <v>1542</v>
      </c>
      <c r="C321">
        <v>48.927402890800003</v>
      </c>
      <c r="D321">
        <v>2.3924711193300001</v>
      </c>
      <c r="E321" t="s">
        <v>1576</v>
      </c>
    </row>
    <row r="322" spans="1:5" x14ac:dyDescent="0.2">
      <c r="A322" s="8" t="s">
        <v>3024</v>
      </c>
      <c r="B322" t="s">
        <v>1543</v>
      </c>
      <c r="C322">
        <v>48.924375143399999</v>
      </c>
      <c r="D322">
        <v>2.4020734143600002</v>
      </c>
      <c r="E322" t="s">
        <v>1577</v>
      </c>
    </row>
    <row r="323" spans="1:5" x14ac:dyDescent="0.2">
      <c r="A323" t="s">
        <v>3025</v>
      </c>
      <c r="B323" t="s">
        <v>1544</v>
      </c>
      <c r="C323">
        <v>48.922711189300003</v>
      </c>
      <c r="D323">
        <v>2.4066227537099998</v>
      </c>
      <c r="E323" t="s">
        <v>1578</v>
      </c>
    </row>
    <row r="324" spans="1:5" x14ac:dyDescent="0.2">
      <c r="A324" t="s">
        <v>3026</v>
      </c>
      <c r="B324" t="s">
        <v>1545</v>
      </c>
      <c r="C324">
        <v>48.919179027699997</v>
      </c>
      <c r="D324">
        <v>2.41383718232</v>
      </c>
      <c r="E324" t="s">
        <v>1580</v>
      </c>
    </row>
    <row r="325" spans="1:5" x14ac:dyDescent="0.2">
      <c r="A325" t="s">
        <v>3027</v>
      </c>
      <c r="B325" t="s">
        <v>1546</v>
      </c>
      <c r="C325">
        <v>48.925244972000002</v>
      </c>
      <c r="D325">
        <v>2.4362287380550001</v>
      </c>
      <c r="E325" t="s">
        <v>3230</v>
      </c>
    </row>
    <row r="326" spans="1:5" x14ac:dyDescent="0.2">
      <c r="A326" t="s">
        <v>3028</v>
      </c>
      <c r="B326" t="s">
        <v>1547</v>
      </c>
      <c r="C326">
        <v>48.915837892900001</v>
      </c>
      <c r="D326">
        <v>2.42500989427</v>
      </c>
      <c r="E326" t="s">
        <v>1582</v>
      </c>
    </row>
    <row r="327" spans="1:5" x14ac:dyDescent="0.2">
      <c r="A327" t="s">
        <v>3029</v>
      </c>
      <c r="B327" t="s">
        <v>1548</v>
      </c>
      <c r="C327">
        <v>48.914093264400002</v>
      </c>
      <c r="D327">
        <v>2.4312780034700001</v>
      </c>
      <c r="E327" t="s">
        <v>1583</v>
      </c>
    </row>
    <row r="328" spans="1:5" x14ac:dyDescent="0.2">
      <c r="A328" t="s">
        <v>3030</v>
      </c>
      <c r="B328" t="s">
        <v>1549</v>
      </c>
      <c r="C328">
        <v>48.912704975300002</v>
      </c>
      <c r="D328">
        <v>2.4354209929900001</v>
      </c>
      <c r="E328" t="s">
        <v>1584</v>
      </c>
    </row>
    <row r="329" spans="1:5" x14ac:dyDescent="0.2">
      <c r="A329" t="s">
        <v>3031</v>
      </c>
      <c r="B329" t="s">
        <v>1550</v>
      </c>
      <c r="C329">
        <v>48.9096663654</v>
      </c>
      <c r="D329">
        <v>2.4374878035799998</v>
      </c>
      <c r="E329" t="s">
        <v>1585</v>
      </c>
    </row>
    <row r="330" spans="1:5" x14ac:dyDescent="0.2">
      <c r="A330" t="s">
        <v>3032</v>
      </c>
      <c r="B330" t="s">
        <v>1551</v>
      </c>
      <c r="C330">
        <v>48.9069318321</v>
      </c>
      <c r="D330">
        <v>2.4386244958600001</v>
      </c>
      <c r="E330" t="s">
        <v>1586</v>
      </c>
    </row>
    <row r="331" spans="1:5" x14ac:dyDescent="0.2">
      <c r="A331" t="s">
        <v>3033</v>
      </c>
      <c r="B331" t="s">
        <v>1552</v>
      </c>
      <c r="C331">
        <v>48.906536559099997</v>
      </c>
      <c r="D331">
        <v>2.4439923345499999</v>
      </c>
      <c r="E331" t="s">
        <v>1587</v>
      </c>
    </row>
    <row r="332" spans="1:5" x14ac:dyDescent="0.2">
      <c r="A332" t="s">
        <v>3034</v>
      </c>
      <c r="B332" t="s">
        <v>1553</v>
      </c>
      <c r="C332">
        <v>48.907812546800002</v>
      </c>
      <c r="D332">
        <v>2.4543528265200001</v>
      </c>
      <c r="E332" t="s">
        <v>1589</v>
      </c>
    </row>
    <row r="333" spans="1:5" x14ac:dyDescent="0.2">
      <c r="A333" t="s">
        <v>3035</v>
      </c>
      <c r="B333" t="s">
        <v>1554</v>
      </c>
      <c r="C333">
        <v>48.906700631699998</v>
      </c>
      <c r="D333">
        <v>2.4605234036699999</v>
      </c>
      <c r="E333" t="s">
        <v>1590</v>
      </c>
    </row>
    <row r="334" spans="1:5" x14ac:dyDescent="0.2">
      <c r="A334" t="s">
        <v>3036</v>
      </c>
      <c r="B334" t="s">
        <v>1555</v>
      </c>
      <c r="C334">
        <v>48.904703203799997</v>
      </c>
      <c r="D334">
        <v>2.4699715436099998</v>
      </c>
      <c r="E334" t="s">
        <v>1591</v>
      </c>
    </row>
    <row r="335" spans="1:5" x14ac:dyDescent="0.2">
      <c r="A335" t="s">
        <v>3037</v>
      </c>
      <c r="B335" t="s">
        <v>1556</v>
      </c>
      <c r="C335">
        <v>48.900417304100003</v>
      </c>
      <c r="D335">
        <v>2.4654604813600001</v>
      </c>
      <c r="E335" t="s">
        <v>1592</v>
      </c>
    </row>
    <row r="336" spans="1:5" x14ac:dyDescent="0.2">
      <c r="A336" s="8" t="s">
        <v>3038</v>
      </c>
      <c r="B336" t="s">
        <v>1557</v>
      </c>
      <c r="C336">
        <v>48.895915836199997</v>
      </c>
      <c r="D336">
        <v>2.46033007088</v>
      </c>
      <c r="E336" t="s">
        <v>1593</v>
      </c>
    </row>
    <row r="337" spans="1:5" x14ac:dyDescent="0.2">
      <c r="A337" t="s">
        <v>3039</v>
      </c>
      <c r="B337" t="s">
        <v>1628</v>
      </c>
      <c r="C337">
        <v>48.923268254200003</v>
      </c>
      <c r="D337">
        <v>2.2175897993499998</v>
      </c>
      <c r="E337" t="s">
        <v>1652</v>
      </c>
    </row>
    <row r="338" spans="1:5" x14ac:dyDescent="0.2">
      <c r="A338" t="s">
        <v>3040</v>
      </c>
      <c r="B338" t="s">
        <v>1629</v>
      </c>
      <c r="C338">
        <v>48.917514907600001</v>
      </c>
      <c r="D338">
        <v>2.2248121888800001</v>
      </c>
      <c r="E338" t="s">
        <v>1653</v>
      </c>
    </row>
    <row r="339" spans="1:5" x14ac:dyDescent="0.2">
      <c r="A339" t="s">
        <v>3041</v>
      </c>
      <c r="B339" t="s">
        <v>1630</v>
      </c>
      <c r="C339">
        <v>48.914047680700001</v>
      </c>
      <c r="D339">
        <v>2.2295716132900001</v>
      </c>
      <c r="E339" t="s">
        <v>1655</v>
      </c>
    </row>
    <row r="340" spans="1:5" x14ac:dyDescent="0.2">
      <c r="A340" t="s">
        <v>3042</v>
      </c>
      <c r="B340" t="s">
        <v>1631</v>
      </c>
      <c r="C340">
        <v>48.910802589699998</v>
      </c>
      <c r="D340">
        <v>2.2339886014300001</v>
      </c>
      <c r="E340" t="s">
        <v>1657</v>
      </c>
    </row>
    <row r="341" spans="1:5" x14ac:dyDescent="0.2">
      <c r="A341" t="s">
        <v>3043</v>
      </c>
      <c r="B341" t="s">
        <v>1632</v>
      </c>
      <c r="C341">
        <v>48.907664583900001</v>
      </c>
      <c r="D341">
        <v>2.2383093022899998</v>
      </c>
      <c r="E341" t="s">
        <v>1659</v>
      </c>
    </row>
    <row r="342" spans="1:5" x14ac:dyDescent="0.2">
      <c r="A342" t="s">
        <v>3044</v>
      </c>
      <c r="B342" t="s">
        <v>1633</v>
      </c>
      <c r="C342">
        <v>48.902768025599997</v>
      </c>
      <c r="D342">
        <v>2.23954203632</v>
      </c>
      <c r="E342" t="s">
        <v>1661</v>
      </c>
    </row>
    <row r="343" spans="1:5" x14ac:dyDescent="0.2">
      <c r="A343" t="s">
        <v>3045</v>
      </c>
      <c r="B343" t="s">
        <v>1634</v>
      </c>
      <c r="C343">
        <v>48.896664396299997</v>
      </c>
      <c r="D343">
        <v>2.2400792520500001</v>
      </c>
      <c r="E343" t="s">
        <v>1663</v>
      </c>
    </row>
    <row r="344" spans="1:5" x14ac:dyDescent="0.2">
      <c r="A344" t="s">
        <v>3046</v>
      </c>
      <c r="B344" t="s">
        <v>1635</v>
      </c>
      <c r="C344">
        <v>48.883334876600003</v>
      </c>
      <c r="D344">
        <v>2.2338714337900001</v>
      </c>
      <c r="E344" t="s">
        <v>1667</v>
      </c>
    </row>
    <row r="345" spans="1:5" x14ac:dyDescent="0.2">
      <c r="A345" t="s">
        <v>3047</v>
      </c>
      <c r="B345" t="s">
        <v>1636</v>
      </c>
      <c r="C345">
        <v>48.876001291500003</v>
      </c>
      <c r="D345">
        <v>2.2259590951399999</v>
      </c>
      <c r="E345" t="s">
        <v>1669</v>
      </c>
    </row>
    <row r="346" spans="1:5" x14ac:dyDescent="0.2">
      <c r="A346" t="s">
        <v>3048</v>
      </c>
      <c r="B346" t="s">
        <v>1639</v>
      </c>
      <c r="C346">
        <v>48.868238784900001</v>
      </c>
      <c r="D346">
        <v>2.2214106039799999</v>
      </c>
      <c r="E346" t="s">
        <v>1671</v>
      </c>
    </row>
    <row r="347" spans="1:5" x14ac:dyDescent="0.2">
      <c r="A347" t="s">
        <v>3049</v>
      </c>
      <c r="B347" t="s">
        <v>1637</v>
      </c>
      <c r="C347">
        <v>48.857471408899997</v>
      </c>
      <c r="D347">
        <v>2.2206035600299998</v>
      </c>
      <c r="E347" t="s">
        <v>1673</v>
      </c>
    </row>
    <row r="348" spans="1:5" x14ac:dyDescent="0.2">
      <c r="A348" t="s">
        <v>3050</v>
      </c>
      <c r="B348" t="s">
        <v>1638</v>
      </c>
      <c r="C348">
        <v>48.849850487799998</v>
      </c>
      <c r="D348">
        <v>2.2212326832699998</v>
      </c>
      <c r="E348" t="s">
        <v>1675</v>
      </c>
    </row>
    <row r="349" spans="1:5" x14ac:dyDescent="0.2">
      <c r="A349" t="s">
        <v>3051</v>
      </c>
      <c r="B349" t="s">
        <v>1640</v>
      </c>
      <c r="C349">
        <v>48.843124399899999</v>
      </c>
      <c r="D349">
        <v>2.2218514947500001</v>
      </c>
      <c r="E349" t="s">
        <v>1677</v>
      </c>
    </row>
    <row r="350" spans="1:5" x14ac:dyDescent="0.2">
      <c r="A350" t="s">
        <v>3052</v>
      </c>
      <c r="B350" t="s">
        <v>1641</v>
      </c>
      <c r="C350">
        <v>48.829010502800003</v>
      </c>
      <c r="D350">
        <v>2.2253128532800002</v>
      </c>
      <c r="E350" t="s">
        <v>1679</v>
      </c>
    </row>
    <row r="351" spans="1:5" x14ac:dyDescent="0.2">
      <c r="A351" t="s">
        <v>3053</v>
      </c>
      <c r="B351" t="s">
        <v>1642</v>
      </c>
      <c r="C351">
        <v>48.822309932899998</v>
      </c>
      <c r="D351">
        <v>2.2313231598700001</v>
      </c>
      <c r="E351" t="s">
        <v>1681</v>
      </c>
    </row>
    <row r="352" spans="1:5" x14ac:dyDescent="0.2">
      <c r="A352" t="s">
        <v>3054</v>
      </c>
      <c r="B352" t="s">
        <v>1643</v>
      </c>
      <c r="C352">
        <v>48.819174329100001</v>
      </c>
      <c r="D352">
        <v>2.2385983377900001</v>
      </c>
      <c r="E352" t="s">
        <v>1683</v>
      </c>
    </row>
    <row r="353" spans="1:5" x14ac:dyDescent="0.2">
      <c r="A353" t="s">
        <v>3055</v>
      </c>
      <c r="B353" t="s">
        <v>1644</v>
      </c>
      <c r="C353">
        <v>48.821517522500002</v>
      </c>
      <c r="D353">
        <v>2.2513361562099998</v>
      </c>
      <c r="E353" t="s">
        <v>1685</v>
      </c>
    </row>
    <row r="354" spans="1:5" x14ac:dyDescent="0.2">
      <c r="A354" t="s">
        <v>3056</v>
      </c>
      <c r="B354" t="s">
        <v>1645</v>
      </c>
      <c r="C354">
        <v>48.824767025500002</v>
      </c>
      <c r="D354">
        <v>2.2605399136700002</v>
      </c>
      <c r="E354" t="s">
        <v>1687</v>
      </c>
    </row>
    <row r="355" spans="1:5" x14ac:dyDescent="0.2">
      <c r="A355" t="s">
        <v>3057</v>
      </c>
      <c r="B355" t="s">
        <v>1646</v>
      </c>
      <c r="C355">
        <v>48.829890157800001</v>
      </c>
      <c r="D355">
        <v>2.2631785657000001</v>
      </c>
      <c r="E355" t="s">
        <v>1689</v>
      </c>
    </row>
    <row r="356" spans="1:5" x14ac:dyDescent="0.2">
      <c r="A356" t="s">
        <v>3058</v>
      </c>
      <c r="B356" t="s">
        <v>1647</v>
      </c>
      <c r="C356">
        <v>48.834750010400001</v>
      </c>
      <c r="D356">
        <v>2.27124150094</v>
      </c>
      <c r="E356" t="s">
        <v>1691</v>
      </c>
    </row>
    <row r="357" spans="1:5" x14ac:dyDescent="0.2">
      <c r="A357" t="s">
        <v>3059</v>
      </c>
      <c r="B357" t="s">
        <v>1648</v>
      </c>
      <c r="C357">
        <v>48.833365343799997</v>
      </c>
      <c r="D357">
        <v>2.2767120905299998</v>
      </c>
      <c r="E357" t="s">
        <v>1693</v>
      </c>
    </row>
    <row r="358" spans="1:5" x14ac:dyDescent="0.2">
      <c r="A358" t="s">
        <v>3060</v>
      </c>
      <c r="B358" t="s">
        <v>1649</v>
      </c>
      <c r="C358">
        <v>48.831696593099998</v>
      </c>
      <c r="D358">
        <v>2.28147044408</v>
      </c>
      <c r="E358" t="s">
        <v>1695</v>
      </c>
    </row>
    <row r="359" spans="1:5" x14ac:dyDescent="0.2">
      <c r="A359" t="s">
        <v>3061</v>
      </c>
      <c r="B359" t="s">
        <v>1651</v>
      </c>
      <c r="C359">
        <v>48.838075890600003</v>
      </c>
      <c r="D359">
        <v>2.2711744020700002</v>
      </c>
      <c r="E359" t="s">
        <v>1713</v>
      </c>
    </row>
    <row r="360" spans="1:5" x14ac:dyDescent="0.2">
      <c r="A360" t="s">
        <v>3062</v>
      </c>
      <c r="B360" t="s">
        <v>1698</v>
      </c>
      <c r="C360">
        <v>48.834358165499999</v>
      </c>
      <c r="D360">
        <v>2.2840072433</v>
      </c>
      <c r="E360" t="s">
        <v>1716</v>
      </c>
    </row>
    <row r="361" spans="1:5" x14ac:dyDescent="0.2">
      <c r="A361" t="s">
        <v>3063</v>
      </c>
      <c r="B361" t="s">
        <v>1699</v>
      </c>
      <c r="C361">
        <v>48.829826378999996</v>
      </c>
      <c r="D361">
        <v>2.29566198282</v>
      </c>
      <c r="E361" t="s">
        <v>1720</v>
      </c>
    </row>
    <row r="362" spans="1:5" x14ac:dyDescent="0.2">
      <c r="A362" t="s">
        <v>3064</v>
      </c>
      <c r="B362" t="s">
        <v>1700</v>
      </c>
      <c r="C362">
        <v>48.828671939499998</v>
      </c>
      <c r="D362">
        <v>2.3008518261300002</v>
      </c>
      <c r="E362" t="s">
        <v>1722</v>
      </c>
    </row>
    <row r="363" spans="1:5" x14ac:dyDescent="0.2">
      <c r="A363" t="s">
        <v>3065</v>
      </c>
      <c r="B363" t="s">
        <v>1701</v>
      </c>
      <c r="C363">
        <v>48.825920546100001</v>
      </c>
      <c r="D363">
        <v>2.3133800873800001</v>
      </c>
      <c r="E363" t="s">
        <v>1726</v>
      </c>
    </row>
    <row r="364" spans="1:5" x14ac:dyDescent="0.2">
      <c r="A364" t="s">
        <v>3066</v>
      </c>
      <c r="B364" t="s">
        <v>1702</v>
      </c>
      <c r="C364">
        <v>48.8247110179</v>
      </c>
      <c r="D364">
        <v>2.3188296912699999</v>
      </c>
      <c r="E364" t="s">
        <v>1728</v>
      </c>
    </row>
    <row r="365" spans="1:5" x14ac:dyDescent="0.2">
      <c r="A365" t="s">
        <v>3067</v>
      </c>
      <c r="B365" t="s">
        <v>1703</v>
      </c>
      <c r="C365">
        <v>48.821508917400003</v>
      </c>
      <c r="D365">
        <v>2.3333398328600001</v>
      </c>
      <c r="E365" t="s">
        <v>1732</v>
      </c>
    </row>
    <row r="366" spans="1:5" x14ac:dyDescent="0.2">
      <c r="A366" t="s">
        <v>3068</v>
      </c>
      <c r="B366" t="s">
        <v>1704</v>
      </c>
      <c r="C366">
        <v>48.820719842399996</v>
      </c>
      <c r="D366">
        <v>2.3387796108250001</v>
      </c>
      <c r="E366" t="s">
        <v>3240</v>
      </c>
    </row>
    <row r="367" spans="1:5" x14ac:dyDescent="0.2">
      <c r="A367" t="s">
        <v>3069</v>
      </c>
      <c r="B367" t="s">
        <v>1705</v>
      </c>
      <c r="C367">
        <v>48.819500509900003</v>
      </c>
      <c r="D367">
        <v>2.3458035798400001</v>
      </c>
      <c r="E367" t="s">
        <v>1736</v>
      </c>
    </row>
    <row r="368" spans="1:5" x14ac:dyDescent="0.2">
      <c r="A368" t="s">
        <v>3070</v>
      </c>
      <c r="B368" t="s">
        <v>1706</v>
      </c>
      <c r="C368">
        <v>48.8208733552</v>
      </c>
      <c r="D368">
        <v>2.3509328780600001</v>
      </c>
      <c r="E368" t="s">
        <v>1738</v>
      </c>
    </row>
    <row r="369" spans="1:5" x14ac:dyDescent="0.2">
      <c r="A369" t="s">
        <v>3071</v>
      </c>
      <c r="B369" t="s">
        <v>1707</v>
      </c>
      <c r="C369">
        <v>48.824328503499999</v>
      </c>
      <c r="D369">
        <v>2.3775842914599998</v>
      </c>
      <c r="E369" t="s">
        <v>1746</v>
      </c>
    </row>
    <row r="370" spans="1:5" x14ac:dyDescent="0.2">
      <c r="A370" t="s">
        <v>3072</v>
      </c>
      <c r="B370" t="s">
        <v>1708</v>
      </c>
      <c r="C370">
        <v>48.8255702286</v>
      </c>
      <c r="D370">
        <v>2.3811655919599999</v>
      </c>
      <c r="E370" t="s">
        <v>1748</v>
      </c>
    </row>
    <row r="371" spans="1:5" x14ac:dyDescent="0.2">
      <c r="A371" t="s">
        <v>3073</v>
      </c>
      <c r="B371" t="s">
        <v>1709</v>
      </c>
      <c r="C371">
        <v>48.8303885897</v>
      </c>
      <c r="D371">
        <v>2.39344969832</v>
      </c>
      <c r="E371" t="s">
        <v>1750</v>
      </c>
    </row>
    <row r="372" spans="1:5" x14ac:dyDescent="0.2">
      <c r="A372" t="s">
        <v>3074</v>
      </c>
      <c r="B372" t="s">
        <v>1710</v>
      </c>
      <c r="C372">
        <v>48.839841073199999</v>
      </c>
      <c r="D372">
        <v>2.4088668503999999</v>
      </c>
      <c r="E372" t="s">
        <v>1756</v>
      </c>
    </row>
    <row r="373" spans="1:5" x14ac:dyDescent="0.2">
      <c r="A373" t="s">
        <v>3075</v>
      </c>
      <c r="B373" t="s">
        <v>1711</v>
      </c>
      <c r="C373">
        <v>48.843771786700003</v>
      </c>
      <c r="D373">
        <v>2.41013203808</v>
      </c>
      <c r="E373" t="s">
        <v>1758</v>
      </c>
    </row>
    <row r="374" spans="1:5" x14ac:dyDescent="0.2">
      <c r="A374" t="s">
        <v>3076</v>
      </c>
      <c r="B374" t="s">
        <v>1763</v>
      </c>
      <c r="C374">
        <v>48.8587040102</v>
      </c>
      <c r="D374">
        <v>2.4096856869700001</v>
      </c>
      <c r="E374" t="s">
        <v>1781</v>
      </c>
    </row>
    <row r="375" spans="1:5" x14ac:dyDescent="0.2">
      <c r="A375" t="s">
        <v>3077</v>
      </c>
      <c r="B375" t="s">
        <v>1762</v>
      </c>
      <c r="C375">
        <v>48.867521357199998</v>
      </c>
      <c r="D375">
        <v>2.4089789397399999</v>
      </c>
      <c r="E375" t="s">
        <v>1785</v>
      </c>
    </row>
    <row r="376" spans="1:5" x14ac:dyDescent="0.2">
      <c r="A376" t="s">
        <v>3078</v>
      </c>
      <c r="B376" t="s">
        <v>1764</v>
      </c>
      <c r="C376">
        <v>48.872404094399997</v>
      </c>
      <c r="D376">
        <v>2.40857757742</v>
      </c>
      <c r="E376" t="s">
        <v>1787</v>
      </c>
    </row>
    <row r="377" spans="1:5" x14ac:dyDescent="0.2">
      <c r="A377" t="s">
        <v>3079</v>
      </c>
      <c r="B377" t="s">
        <v>1766</v>
      </c>
      <c r="C377">
        <v>48.885016789200002</v>
      </c>
      <c r="D377">
        <v>2.3967512888</v>
      </c>
      <c r="E377" t="s">
        <v>1793</v>
      </c>
    </row>
    <row r="378" spans="1:5" x14ac:dyDescent="0.2">
      <c r="A378" s="8" t="s">
        <v>3080</v>
      </c>
      <c r="B378" t="s">
        <v>1767</v>
      </c>
      <c r="C378">
        <v>48.8938802825</v>
      </c>
      <c r="D378">
        <v>2.3977388506500001</v>
      </c>
      <c r="E378" t="s">
        <v>1797</v>
      </c>
    </row>
    <row r="379" spans="1:5" x14ac:dyDescent="0.2">
      <c r="A379" t="s">
        <v>3081</v>
      </c>
      <c r="B379" t="s">
        <v>1768</v>
      </c>
      <c r="C379">
        <v>48.897432849499999</v>
      </c>
      <c r="D379">
        <v>2.3950417496799998</v>
      </c>
      <c r="E379" t="s">
        <v>1799</v>
      </c>
    </row>
    <row r="380" spans="1:5" x14ac:dyDescent="0.2">
      <c r="A380" t="s">
        <v>3082</v>
      </c>
      <c r="B380" t="s">
        <v>1769</v>
      </c>
      <c r="C380">
        <v>48.898733990700002</v>
      </c>
      <c r="D380">
        <v>2.3805370354900002</v>
      </c>
      <c r="E380" t="s">
        <v>1803</v>
      </c>
    </row>
    <row r="381" spans="1:5" x14ac:dyDescent="0.2">
      <c r="A381" t="s">
        <v>3083</v>
      </c>
      <c r="B381" t="s">
        <v>1770</v>
      </c>
      <c r="C381">
        <v>48.897552809899999</v>
      </c>
      <c r="D381">
        <v>2.3733837960000002</v>
      </c>
      <c r="E381" t="s">
        <v>1805</v>
      </c>
    </row>
    <row r="382" spans="1:5" x14ac:dyDescent="0.2">
      <c r="A382" t="s">
        <v>3084</v>
      </c>
      <c r="B382" t="s">
        <v>1771</v>
      </c>
      <c r="C382">
        <v>48.898601172200003</v>
      </c>
      <c r="D382">
        <v>2.3690369493199999</v>
      </c>
      <c r="E382" t="s">
        <v>1807</v>
      </c>
    </row>
    <row r="383" spans="1:5" x14ac:dyDescent="0.2">
      <c r="A383" t="s">
        <v>3085</v>
      </c>
      <c r="B383" t="s">
        <v>1772</v>
      </c>
      <c r="C383">
        <v>48.898491101600001</v>
      </c>
      <c r="D383">
        <v>2.36365138218</v>
      </c>
      <c r="E383" t="s">
        <v>1809</v>
      </c>
    </row>
    <row r="384" spans="1:5" x14ac:dyDescent="0.2">
      <c r="A384" t="s">
        <v>3086</v>
      </c>
      <c r="B384" t="s">
        <v>1773</v>
      </c>
      <c r="C384">
        <v>48.898325558400003</v>
      </c>
      <c r="D384">
        <v>2.3518295501300002</v>
      </c>
      <c r="E384" t="s">
        <v>1813</v>
      </c>
    </row>
    <row r="385" spans="1:5" x14ac:dyDescent="0.2">
      <c r="A385" t="s">
        <v>3087</v>
      </c>
      <c r="B385" t="s">
        <v>1774</v>
      </c>
      <c r="C385">
        <v>48.897832385100003</v>
      </c>
      <c r="D385">
        <v>2.3380267402300001</v>
      </c>
      <c r="E385" t="s">
        <v>1817</v>
      </c>
    </row>
    <row r="386" spans="1:5" x14ac:dyDescent="0.2">
      <c r="A386" t="s">
        <v>3088</v>
      </c>
      <c r="B386" t="s">
        <v>1775</v>
      </c>
      <c r="C386">
        <v>48.897516716799998</v>
      </c>
      <c r="D386">
        <v>2.3237279130099999</v>
      </c>
      <c r="E386" t="s">
        <v>1821</v>
      </c>
    </row>
    <row r="387" spans="1:5" x14ac:dyDescent="0.2">
      <c r="A387" t="s">
        <v>3089</v>
      </c>
      <c r="B387" t="s">
        <v>1776</v>
      </c>
      <c r="C387">
        <v>48.896226494700002</v>
      </c>
      <c r="D387">
        <v>2.3188023272599998</v>
      </c>
      <c r="E387" t="s">
        <v>1823</v>
      </c>
    </row>
    <row r="388" spans="1:5" x14ac:dyDescent="0.2">
      <c r="A388" t="s">
        <v>3090</v>
      </c>
      <c r="B388" t="s">
        <v>1777</v>
      </c>
      <c r="C388">
        <v>48.889657434699998</v>
      </c>
      <c r="D388">
        <v>2.3031046176599999</v>
      </c>
      <c r="E388" t="s">
        <v>1827</v>
      </c>
    </row>
    <row r="389" spans="1:5" x14ac:dyDescent="0.2">
      <c r="A389" t="s">
        <v>3091</v>
      </c>
      <c r="B389" t="s">
        <v>1951</v>
      </c>
      <c r="C389">
        <v>48.894048284199997</v>
      </c>
      <c r="D389">
        <v>2.4803488703299998</v>
      </c>
      <c r="E389" t="s">
        <v>2035</v>
      </c>
    </row>
    <row r="390" spans="1:5" x14ac:dyDescent="0.2">
      <c r="A390" t="s">
        <v>3092</v>
      </c>
      <c r="B390" t="s">
        <v>1952</v>
      </c>
      <c r="C390">
        <v>48.893094628599997</v>
      </c>
      <c r="D390">
        <v>2.4879109876299998</v>
      </c>
      <c r="E390" t="s">
        <v>2036</v>
      </c>
    </row>
    <row r="391" spans="1:5" x14ac:dyDescent="0.2">
      <c r="A391" t="s">
        <v>3093</v>
      </c>
      <c r="B391" t="s">
        <v>1953</v>
      </c>
      <c r="C391">
        <v>48.892504761399998</v>
      </c>
      <c r="D391">
        <v>2.4993884572899998</v>
      </c>
      <c r="E391" t="s">
        <v>2038</v>
      </c>
    </row>
    <row r="392" spans="1:5" x14ac:dyDescent="0.2">
      <c r="A392" t="s">
        <v>3094</v>
      </c>
      <c r="B392" t="s">
        <v>1954</v>
      </c>
      <c r="C392">
        <v>48.897143818499998</v>
      </c>
      <c r="D392">
        <v>2.50640824702</v>
      </c>
      <c r="E392" t="s">
        <v>2040</v>
      </c>
    </row>
    <row r="393" spans="1:5" x14ac:dyDescent="0.2">
      <c r="A393" t="s">
        <v>3095</v>
      </c>
      <c r="B393" t="s">
        <v>1955</v>
      </c>
      <c r="C393">
        <v>48.902444190600001</v>
      </c>
      <c r="D393">
        <v>2.5116993032699999</v>
      </c>
      <c r="E393" t="s">
        <v>2042</v>
      </c>
    </row>
    <row r="394" spans="1:5" x14ac:dyDescent="0.2">
      <c r="A394" t="s">
        <v>3096</v>
      </c>
      <c r="B394" t="s">
        <v>1956</v>
      </c>
      <c r="C394">
        <v>48.908165415200003</v>
      </c>
      <c r="D394">
        <v>2.5170254953</v>
      </c>
      <c r="E394" t="s">
        <v>2044</v>
      </c>
    </row>
    <row r="395" spans="1:5" x14ac:dyDescent="0.2">
      <c r="A395" t="s">
        <v>3097</v>
      </c>
      <c r="B395" t="s">
        <v>1957</v>
      </c>
      <c r="C395">
        <v>48.916096504099997</v>
      </c>
      <c r="D395">
        <v>2.5150614461899998</v>
      </c>
      <c r="E395" t="s">
        <v>2046</v>
      </c>
    </row>
    <row r="396" spans="1:5" x14ac:dyDescent="0.2">
      <c r="A396" t="s">
        <v>3098</v>
      </c>
      <c r="B396" t="s">
        <v>1958</v>
      </c>
      <c r="C396">
        <v>48.921926143299999</v>
      </c>
      <c r="D396">
        <v>2.5164435351700001</v>
      </c>
      <c r="E396" t="s">
        <v>2048</v>
      </c>
    </row>
    <row r="397" spans="1:5" x14ac:dyDescent="0.2">
      <c r="A397" t="s">
        <v>3099</v>
      </c>
      <c r="B397" t="s">
        <v>1959</v>
      </c>
      <c r="C397">
        <v>48.926640202000002</v>
      </c>
      <c r="D397">
        <v>2.51910376383</v>
      </c>
      <c r="E397" t="s">
        <v>2050</v>
      </c>
    </row>
    <row r="398" spans="1:5" x14ac:dyDescent="0.2">
      <c r="A398" t="s">
        <v>3100</v>
      </c>
      <c r="B398" t="s">
        <v>1960</v>
      </c>
      <c r="C398">
        <v>48.930934182999998</v>
      </c>
      <c r="D398">
        <v>2.5150496624200001</v>
      </c>
      <c r="E398" t="s">
        <v>2052</v>
      </c>
    </row>
    <row r="399" spans="1:5" x14ac:dyDescent="0.2">
      <c r="A399" t="s">
        <v>3101</v>
      </c>
      <c r="B399" t="s">
        <v>1961</v>
      </c>
      <c r="C399">
        <v>48.932073123750001</v>
      </c>
      <c r="D399">
        <v>2.4958757112150001</v>
      </c>
      <c r="E399" t="s">
        <v>3228</v>
      </c>
    </row>
    <row r="400" spans="1:5" x14ac:dyDescent="0.2">
      <c r="A400" t="s">
        <v>3102</v>
      </c>
      <c r="B400" t="s">
        <v>1962</v>
      </c>
      <c r="C400">
        <v>48.942125455099998</v>
      </c>
      <c r="D400">
        <v>2.3567297415300001</v>
      </c>
      <c r="E400" t="s">
        <v>2056</v>
      </c>
    </row>
    <row r="401" spans="1:5" x14ac:dyDescent="0.2">
      <c r="A401" t="s">
        <v>3103</v>
      </c>
      <c r="B401" t="s">
        <v>1963</v>
      </c>
      <c r="C401">
        <v>48.944818932700002</v>
      </c>
      <c r="D401">
        <v>2.3570063551099998</v>
      </c>
      <c r="E401" t="s">
        <v>2058</v>
      </c>
    </row>
    <row r="402" spans="1:5" x14ac:dyDescent="0.2">
      <c r="A402" t="s">
        <v>3104</v>
      </c>
      <c r="B402" t="s">
        <v>1964</v>
      </c>
      <c r="C402">
        <v>48.948208128499999</v>
      </c>
      <c r="D402">
        <v>2.3574615262599998</v>
      </c>
      <c r="E402" s="8" t="s">
        <v>2060</v>
      </c>
    </row>
    <row r="403" spans="1:5" x14ac:dyDescent="0.2">
      <c r="A403" t="s">
        <v>3105</v>
      </c>
      <c r="B403" t="s">
        <v>1965</v>
      </c>
      <c r="C403">
        <v>48.952637882600001</v>
      </c>
      <c r="D403">
        <v>2.35797833108</v>
      </c>
      <c r="E403" t="s">
        <v>2062</v>
      </c>
    </row>
    <row r="404" spans="1:5" x14ac:dyDescent="0.2">
      <c r="A404" t="s">
        <v>3106</v>
      </c>
      <c r="B404" t="s">
        <v>1966</v>
      </c>
      <c r="C404">
        <v>48.955576348000001</v>
      </c>
      <c r="D404">
        <v>2.35832285615</v>
      </c>
      <c r="E404" t="s">
        <v>2064</v>
      </c>
    </row>
    <row r="405" spans="1:5" x14ac:dyDescent="0.2">
      <c r="A405" t="s">
        <v>3107</v>
      </c>
      <c r="B405" t="s">
        <v>1967</v>
      </c>
      <c r="C405">
        <v>48.959121098300002</v>
      </c>
      <c r="D405">
        <v>2.3587425044799999</v>
      </c>
      <c r="E405" t="s">
        <v>2066</v>
      </c>
    </row>
    <row r="406" spans="1:5" x14ac:dyDescent="0.2">
      <c r="A406" t="s">
        <v>3108</v>
      </c>
      <c r="B406" t="s">
        <v>1968</v>
      </c>
      <c r="C406">
        <v>48.963517946400003</v>
      </c>
      <c r="D406">
        <v>2.3602507586499999</v>
      </c>
      <c r="E406" t="s">
        <v>2068</v>
      </c>
    </row>
    <row r="407" spans="1:5" x14ac:dyDescent="0.2">
      <c r="A407" t="s">
        <v>3109</v>
      </c>
      <c r="B407" t="s">
        <v>1969</v>
      </c>
      <c r="C407">
        <v>48.965855574400003</v>
      </c>
      <c r="D407">
        <v>2.3635722239699999</v>
      </c>
      <c r="E407" t="s">
        <v>2070</v>
      </c>
    </row>
    <row r="408" spans="1:5" x14ac:dyDescent="0.2">
      <c r="A408" t="s">
        <v>3110</v>
      </c>
      <c r="B408" t="s">
        <v>1970</v>
      </c>
      <c r="C408">
        <v>48.970883404200002</v>
      </c>
      <c r="D408">
        <v>2.3660038891099999</v>
      </c>
      <c r="E408" t="s">
        <v>2072</v>
      </c>
    </row>
    <row r="409" spans="1:5" x14ac:dyDescent="0.2">
      <c r="A409" t="s">
        <v>3111</v>
      </c>
      <c r="B409" t="s">
        <v>1971</v>
      </c>
      <c r="C409">
        <v>48.973659013000002</v>
      </c>
      <c r="D409">
        <v>2.3660517156799998</v>
      </c>
      <c r="E409" t="s">
        <v>2074</v>
      </c>
    </row>
    <row r="410" spans="1:5" x14ac:dyDescent="0.2">
      <c r="A410" t="s">
        <v>3112</v>
      </c>
      <c r="B410" t="s">
        <v>1972</v>
      </c>
      <c r="C410">
        <v>48.977493090000003</v>
      </c>
      <c r="D410">
        <v>2.37224292371</v>
      </c>
      <c r="E410" t="s">
        <v>2076</v>
      </c>
    </row>
    <row r="411" spans="1:5" x14ac:dyDescent="0.2">
      <c r="A411" t="s">
        <v>3113</v>
      </c>
      <c r="B411" t="s">
        <v>1973</v>
      </c>
      <c r="C411">
        <v>48.976665691400001</v>
      </c>
      <c r="D411">
        <v>2.3774196733099999</v>
      </c>
      <c r="E411" t="s">
        <v>2078</v>
      </c>
    </row>
    <row r="412" spans="1:5" x14ac:dyDescent="0.2">
      <c r="A412" t="s">
        <v>3114</v>
      </c>
      <c r="B412" t="s">
        <v>1974</v>
      </c>
      <c r="C412">
        <v>48.9792761263</v>
      </c>
      <c r="D412">
        <v>2.3802042543300002</v>
      </c>
      <c r="E412" t="s">
        <v>2080</v>
      </c>
    </row>
    <row r="413" spans="1:5" x14ac:dyDescent="0.2">
      <c r="A413" t="s">
        <v>3115</v>
      </c>
      <c r="B413" t="s">
        <v>1975</v>
      </c>
      <c r="C413">
        <v>48.9785246243</v>
      </c>
      <c r="D413">
        <v>2.3850491920099999</v>
      </c>
      <c r="E413" t="s">
        <v>2082</v>
      </c>
    </row>
    <row r="414" spans="1:5" x14ac:dyDescent="0.2">
      <c r="A414" t="s">
        <v>3116</v>
      </c>
      <c r="B414" t="s">
        <v>1976</v>
      </c>
      <c r="C414">
        <v>48.977160715499998</v>
      </c>
      <c r="D414">
        <v>2.3906748809299998</v>
      </c>
      <c r="E414" t="s">
        <v>2084</v>
      </c>
    </row>
    <row r="415" spans="1:5" x14ac:dyDescent="0.2">
      <c r="A415" t="s">
        <v>3117</v>
      </c>
      <c r="B415" t="s">
        <v>1977</v>
      </c>
      <c r="C415">
        <v>48.805704154899999</v>
      </c>
      <c r="D415">
        <v>2.1690700494300001</v>
      </c>
      <c r="E415" t="s">
        <v>2085</v>
      </c>
    </row>
    <row r="416" spans="1:5" x14ac:dyDescent="0.2">
      <c r="A416" t="s">
        <v>3118</v>
      </c>
      <c r="B416" t="s">
        <v>1978</v>
      </c>
      <c r="C416">
        <v>48.801077611399997</v>
      </c>
      <c r="D416">
        <v>2.17096740108</v>
      </c>
      <c r="E416" t="s">
        <v>2086</v>
      </c>
    </row>
    <row r="417" spans="1:5" x14ac:dyDescent="0.2">
      <c r="A417" t="s">
        <v>3119</v>
      </c>
      <c r="B417" t="s">
        <v>1979</v>
      </c>
      <c r="C417">
        <v>48.785121413299997</v>
      </c>
      <c r="D417">
        <v>2.17879859027</v>
      </c>
      <c r="E417" t="s">
        <v>2088</v>
      </c>
    </row>
    <row r="418" spans="1:5" x14ac:dyDescent="0.2">
      <c r="A418" t="s">
        <v>3120</v>
      </c>
      <c r="B418" t="s">
        <v>1980</v>
      </c>
      <c r="C418">
        <v>48.781986672499997</v>
      </c>
      <c r="D418">
        <v>2.1804937509300002</v>
      </c>
      <c r="E418" t="s">
        <v>2090</v>
      </c>
    </row>
    <row r="419" spans="1:5" x14ac:dyDescent="0.2">
      <c r="A419" t="s">
        <v>3121</v>
      </c>
      <c r="B419" t="s">
        <v>1981</v>
      </c>
      <c r="C419">
        <v>48.780454711499999</v>
      </c>
      <c r="D419">
        <v>2.1914099192699998</v>
      </c>
      <c r="E419" t="s">
        <v>2092</v>
      </c>
    </row>
    <row r="420" spans="1:5" x14ac:dyDescent="0.2">
      <c r="A420" t="s">
        <v>3122</v>
      </c>
      <c r="B420" t="s">
        <v>1982</v>
      </c>
      <c r="C420">
        <v>48.780087152</v>
      </c>
      <c r="D420">
        <v>2.1965058124899999</v>
      </c>
      <c r="E420" t="s">
        <v>2094</v>
      </c>
    </row>
    <row r="421" spans="1:5" x14ac:dyDescent="0.2">
      <c r="A421" t="s">
        <v>3123</v>
      </c>
      <c r="B421" t="s">
        <v>1983</v>
      </c>
      <c r="C421">
        <v>48.781404320900002</v>
      </c>
      <c r="D421">
        <v>2.2091292272900001</v>
      </c>
      <c r="E421" t="s">
        <v>2096</v>
      </c>
    </row>
    <row r="422" spans="1:5" x14ac:dyDescent="0.2">
      <c r="A422" t="s">
        <v>3124</v>
      </c>
      <c r="B422" t="s">
        <v>1984</v>
      </c>
      <c r="C422">
        <v>48.783624622200001</v>
      </c>
      <c r="D422">
        <v>2.2144335020499999</v>
      </c>
      <c r="E422" t="s">
        <v>2098</v>
      </c>
    </row>
    <row r="423" spans="1:5" x14ac:dyDescent="0.2">
      <c r="A423" t="s">
        <v>3125</v>
      </c>
      <c r="B423" t="s">
        <v>1985</v>
      </c>
      <c r="C423">
        <v>48.784969763299998</v>
      </c>
      <c r="D423">
        <v>2.2200095168599998</v>
      </c>
      <c r="E423" t="s">
        <v>2100</v>
      </c>
    </row>
    <row r="424" spans="1:5" x14ac:dyDescent="0.2">
      <c r="A424" t="s">
        <v>3126</v>
      </c>
      <c r="B424" t="s">
        <v>1986</v>
      </c>
      <c r="C424">
        <v>48.783539332799997</v>
      </c>
      <c r="D424">
        <v>2.2252802952800002</v>
      </c>
      <c r="E424" t="s">
        <v>2102</v>
      </c>
    </row>
    <row r="425" spans="1:5" x14ac:dyDescent="0.2">
      <c r="A425" t="s">
        <v>3127</v>
      </c>
      <c r="B425" t="s">
        <v>1987</v>
      </c>
      <c r="C425">
        <v>48.783500975700001</v>
      </c>
      <c r="D425">
        <v>2.2309835589400002</v>
      </c>
      <c r="E425" t="s">
        <v>2104</v>
      </c>
    </row>
    <row r="426" spans="1:5" x14ac:dyDescent="0.2">
      <c r="A426" t="s">
        <v>3128</v>
      </c>
      <c r="B426" t="s">
        <v>1988</v>
      </c>
      <c r="C426">
        <v>48.7849021663</v>
      </c>
      <c r="D426">
        <v>2.2371327049700001</v>
      </c>
      <c r="E426" t="s">
        <v>2106</v>
      </c>
    </row>
    <row r="427" spans="1:5" x14ac:dyDescent="0.2">
      <c r="A427" t="s">
        <v>3129</v>
      </c>
      <c r="B427" t="s">
        <v>1989</v>
      </c>
      <c r="C427">
        <v>48.7807309692</v>
      </c>
      <c r="D427">
        <v>2.2398320176199999</v>
      </c>
      <c r="E427" t="s">
        <v>2108</v>
      </c>
    </row>
    <row r="428" spans="1:5" x14ac:dyDescent="0.2">
      <c r="A428" t="s">
        <v>3130</v>
      </c>
      <c r="B428" t="s">
        <v>1990</v>
      </c>
      <c r="C428">
        <v>48.783687215199997</v>
      </c>
      <c r="D428">
        <v>2.2469776491600002</v>
      </c>
      <c r="E428" t="s">
        <v>2110</v>
      </c>
    </row>
    <row r="429" spans="1:5" x14ac:dyDescent="0.2">
      <c r="A429" t="s">
        <v>3131</v>
      </c>
      <c r="B429" t="s">
        <v>1991</v>
      </c>
      <c r="C429">
        <v>48.786716182200003</v>
      </c>
      <c r="D429">
        <v>2.2545021520400002</v>
      </c>
      <c r="E429" t="s">
        <v>2112</v>
      </c>
    </row>
    <row r="430" spans="1:5" x14ac:dyDescent="0.2">
      <c r="A430" t="s">
        <v>3132</v>
      </c>
      <c r="B430" t="s">
        <v>1992</v>
      </c>
      <c r="C430">
        <v>48.790333001900002</v>
      </c>
      <c r="D430">
        <v>2.2633891660200001</v>
      </c>
      <c r="E430" s="8" t="s">
        <v>2114</v>
      </c>
    </row>
    <row r="431" spans="1:5" x14ac:dyDescent="0.2">
      <c r="A431" t="s">
        <v>3133</v>
      </c>
      <c r="B431" t="s">
        <v>1993</v>
      </c>
      <c r="C431">
        <v>48.794468884499999</v>
      </c>
      <c r="D431">
        <v>2.2726503446600002</v>
      </c>
      <c r="E431" t="s">
        <v>2116</v>
      </c>
    </row>
    <row r="432" spans="1:5" x14ac:dyDescent="0.2">
      <c r="A432" t="s">
        <v>3134</v>
      </c>
      <c r="B432" t="s">
        <v>1994</v>
      </c>
      <c r="C432">
        <v>48.799887383200002</v>
      </c>
      <c r="D432">
        <v>2.2819513201700001</v>
      </c>
      <c r="E432" t="s">
        <v>2118</v>
      </c>
    </row>
    <row r="433" spans="1:5" x14ac:dyDescent="0.2">
      <c r="A433" t="s">
        <v>3135</v>
      </c>
      <c r="B433" t="s">
        <v>1995</v>
      </c>
      <c r="C433">
        <v>48.804204938300003</v>
      </c>
      <c r="D433">
        <v>2.2890572535999998</v>
      </c>
      <c r="E433" t="s">
        <v>2120</v>
      </c>
    </row>
    <row r="434" spans="1:5" x14ac:dyDescent="0.2">
      <c r="A434" t="s">
        <v>3136</v>
      </c>
      <c r="B434" t="s">
        <v>1996</v>
      </c>
      <c r="C434">
        <v>48.807169846800001</v>
      </c>
      <c r="D434">
        <v>2.2940912443200001</v>
      </c>
      <c r="E434" t="s">
        <v>2122</v>
      </c>
    </row>
    <row r="435" spans="1:5" x14ac:dyDescent="0.2">
      <c r="A435" t="s">
        <v>3137</v>
      </c>
      <c r="B435" t="s">
        <v>1997</v>
      </c>
      <c r="C435">
        <v>48.783107550399997</v>
      </c>
      <c r="D435">
        <v>2.3671578333199998</v>
      </c>
      <c r="E435" t="s">
        <v>2126</v>
      </c>
    </row>
    <row r="436" spans="1:5" x14ac:dyDescent="0.2">
      <c r="A436" t="s">
        <v>3138</v>
      </c>
      <c r="B436" t="s">
        <v>1998</v>
      </c>
      <c r="C436">
        <v>48.778936393099997</v>
      </c>
      <c r="D436">
        <v>2.3674058644999998</v>
      </c>
      <c r="E436" t="s">
        <v>2128</v>
      </c>
    </row>
    <row r="437" spans="1:5" x14ac:dyDescent="0.2">
      <c r="A437" t="s">
        <v>3139</v>
      </c>
      <c r="B437" t="s">
        <v>1999</v>
      </c>
      <c r="C437">
        <v>48.772074216599997</v>
      </c>
      <c r="D437">
        <v>2.3678150016299999</v>
      </c>
      <c r="E437" t="s">
        <v>2130</v>
      </c>
    </row>
    <row r="438" spans="1:5" x14ac:dyDescent="0.2">
      <c r="A438" t="s">
        <v>3140</v>
      </c>
      <c r="B438" t="s">
        <v>2000</v>
      </c>
      <c r="C438">
        <v>48.768221780399998</v>
      </c>
      <c r="D438">
        <v>2.3680415206699998</v>
      </c>
      <c r="E438" t="s">
        <v>2132</v>
      </c>
    </row>
    <row r="439" spans="1:5" x14ac:dyDescent="0.2">
      <c r="A439" t="s">
        <v>3141</v>
      </c>
      <c r="B439" t="s">
        <v>2001</v>
      </c>
      <c r="C439">
        <v>48.763375152999998</v>
      </c>
      <c r="D439">
        <v>2.3677905357300002</v>
      </c>
      <c r="E439" t="s">
        <v>2134</v>
      </c>
    </row>
    <row r="440" spans="1:5" x14ac:dyDescent="0.2">
      <c r="A440" t="s">
        <v>3142</v>
      </c>
      <c r="B440" t="s">
        <v>2002</v>
      </c>
      <c r="C440">
        <v>48.759573535299999</v>
      </c>
      <c r="D440">
        <v>2.3663980000399998</v>
      </c>
      <c r="E440" t="s">
        <v>2136</v>
      </c>
    </row>
    <row r="441" spans="1:5" x14ac:dyDescent="0.2">
      <c r="A441" t="s">
        <v>3143</v>
      </c>
      <c r="B441" t="s">
        <v>2003</v>
      </c>
      <c r="C441">
        <v>48.756739433500002</v>
      </c>
      <c r="D441">
        <v>2.3683646986300002</v>
      </c>
      <c r="E441" t="s">
        <v>2138</v>
      </c>
    </row>
    <row r="442" spans="1:5" x14ac:dyDescent="0.2">
      <c r="A442" t="s">
        <v>3144</v>
      </c>
      <c r="B442" t="s">
        <v>2004</v>
      </c>
      <c r="C442">
        <v>48.752811359699997</v>
      </c>
      <c r="D442">
        <v>2.3619521525799998</v>
      </c>
      <c r="E442" t="s">
        <v>2140</v>
      </c>
    </row>
    <row r="443" spans="1:5" x14ac:dyDescent="0.2">
      <c r="A443" t="s">
        <v>3145</v>
      </c>
      <c r="B443" t="s">
        <v>2005</v>
      </c>
      <c r="C443">
        <v>48.752674351800003</v>
      </c>
      <c r="D443">
        <v>2.3553609890799998</v>
      </c>
      <c r="E443" t="s">
        <v>2142</v>
      </c>
    </row>
    <row r="444" spans="1:5" x14ac:dyDescent="0.2">
      <c r="A444" t="s">
        <v>3146</v>
      </c>
      <c r="B444" t="s">
        <v>2006</v>
      </c>
      <c r="C444">
        <v>48.750174037100003</v>
      </c>
      <c r="D444">
        <v>2.3543672791499999</v>
      </c>
      <c r="E444" t="s">
        <v>2144</v>
      </c>
    </row>
    <row r="445" spans="1:5" x14ac:dyDescent="0.2">
      <c r="A445" t="s">
        <v>3147</v>
      </c>
      <c r="B445" t="s">
        <v>2007</v>
      </c>
      <c r="C445">
        <v>48.746568586599999</v>
      </c>
      <c r="D445">
        <v>2.3528753413399999</v>
      </c>
      <c r="E445" t="s">
        <v>2146</v>
      </c>
    </row>
    <row r="446" spans="1:5" x14ac:dyDescent="0.2">
      <c r="A446" t="s">
        <v>3148</v>
      </c>
      <c r="B446" t="s">
        <v>2008</v>
      </c>
      <c r="C446">
        <v>48.741684493100003</v>
      </c>
      <c r="D446">
        <v>2.35279538131</v>
      </c>
      <c r="E446" t="s">
        <v>2148</v>
      </c>
    </row>
    <row r="447" spans="1:5" x14ac:dyDescent="0.2">
      <c r="A447" t="s">
        <v>3149</v>
      </c>
      <c r="B447" t="s">
        <v>2009</v>
      </c>
      <c r="C447">
        <v>48.739987430399999</v>
      </c>
      <c r="D447">
        <v>2.3594678211</v>
      </c>
      <c r="E447" t="s">
        <v>2150</v>
      </c>
    </row>
    <row r="448" spans="1:5" x14ac:dyDescent="0.2">
      <c r="A448" t="s">
        <v>3150</v>
      </c>
      <c r="B448" t="s">
        <v>2010</v>
      </c>
      <c r="C448">
        <v>48.738562777299997</v>
      </c>
      <c r="D448">
        <v>2.3699101466800001</v>
      </c>
      <c r="E448" t="s">
        <v>2152</v>
      </c>
    </row>
    <row r="449" spans="1:5" x14ac:dyDescent="0.2">
      <c r="A449" t="s">
        <v>3151</v>
      </c>
      <c r="B449" t="s">
        <v>2011</v>
      </c>
      <c r="C449">
        <v>48.734088162100001</v>
      </c>
      <c r="D449">
        <v>2.3712503762199999</v>
      </c>
      <c r="E449" t="s">
        <v>2154</v>
      </c>
    </row>
    <row r="450" spans="1:5" x14ac:dyDescent="0.2">
      <c r="A450" t="s">
        <v>3152</v>
      </c>
      <c r="B450" t="s">
        <v>2012</v>
      </c>
      <c r="C450">
        <v>48.729550722699997</v>
      </c>
      <c r="D450">
        <v>2.3682641286199999</v>
      </c>
      <c r="E450" t="s">
        <v>2156</v>
      </c>
    </row>
    <row r="451" spans="1:5" x14ac:dyDescent="0.2">
      <c r="A451" t="s">
        <v>3153</v>
      </c>
      <c r="B451" t="s">
        <v>2013</v>
      </c>
      <c r="C451">
        <v>48.714512725299997</v>
      </c>
      <c r="D451">
        <v>2.3717471434599999</v>
      </c>
      <c r="E451" t="s">
        <v>2158</v>
      </c>
    </row>
    <row r="452" spans="1:5" x14ac:dyDescent="0.2">
      <c r="A452" t="s">
        <v>3154</v>
      </c>
      <c r="B452" t="s">
        <v>2014</v>
      </c>
      <c r="C452">
        <v>48.9555044771</v>
      </c>
      <c r="D452">
        <v>2.2955916949000001</v>
      </c>
      <c r="E452" t="s">
        <v>2159</v>
      </c>
    </row>
    <row r="453" spans="1:5" x14ac:dyDescent="0.2">
      <c r="A453" t="s">
        <v>3155</v>
      </c>
      <c r="B453" t="s">
        <v>2015</v>
      </c>
      <c r="C453">
        <v>48.955202805149995</v>
      </c>
      <c r="D453">
        <v>2.3022639119199999</v>
      </c>
      <c r="E453" t="s">
        <v>2318</v>
      </c>
    </row>
    <row r="454" spans="1:5" x14ac:dyDescent="0.2">
      <c r="A454" t="s">
        <v>3156</v>
      </c>
      <c r="B454" t="s">
        <v>2016</v>
      </c>
      <c r="C454">
        <v>48.955437426099998</v>
      </c>
      <c r="D454">
        <v>2.3078725683500001</v>
      </c>
      <c r="E454" t="s">
        <v>2162</v>
      </c>
    </row>
    <row r="455" spans="1:5" x14ac:dyDescent="0.2">
      <c r="A455" t="s">
        <v>3157</v>
      </c>
      <c r="B455" t="s">
        <v>2017</v>
      </c>
      <c r="C455">
        <v>48.9558768749</v>
      </c>
      <c r="D455">
        <v>2.31152630869</v>
      </c>
      <c r="E455" t="s">
        <v>2164</v>
      </c>
    </row>
    <row r="456" spans="1:5" x14ac:dyDescent="0.2">
      <c r="A456" t="s">
        <v>3158</v>
      </c>
      <c r="B456" t="s">
        <v>2018</v>
      </c>
      <c r="C456">
        <v>48.953168246799997</v>
      </c>
      <c r="D456">
        <v>2.3154036121099999</v>
      </c>
      <c r="E456" t="s">
        <v>2166</v>
      </c>
    </row>
    <row r="457" spans="1:5" x14ac:dyDescent="0.2">
      <c r="A457" t="s">
        <v>3159</v>
      </c>
      <c r="B457" t="s">
        <v>2019</v>
      </c>
      <c r="C457">
        <v>48.951708783599997</v>
      </c>
      <c r="D457">
        <v>2.3202165216699999</v>
      </c>
      <c r="E457" t="s">
        <v>2168</v>
      </c>
    </row>
    <row r="458" spans="1:5" x14ac:dyDescent="0.2">
      <c r="A458" t="s">
        <v>3160</v>
      </c>
      <c r="B458" t="s">
        <v>2020</v>
      </c>
      <c r="C458">
        <v>48.949937735699997</v>
      </c>
      <c r="D458">
        <v>2.3288321713500002</v>
      </c>
      <c r="E458" t="s">
        <v>2170</v>
      </c>
    </row>
    <row r="459" spans="1:5" x14ac:dyDescent="0.2">
      <c r="A459" t="s">
        <v>3161</v>
      </c>
      <c r="B459" t="s">
        <v>2021</v>
      </c>
      <c r="C459">
        <v>48.947807649600001</v>
      </c>
      <c r="D459">
        <v>2.3391809234199998</v>
      </c>
      <c r="E459" t="s">
        <v>2172</v>
      </c>
    </row>
    <row r="460" spans="1:5" x14ac:dyDescent="0.2">
      <c r="A460" t="s">
        <v>3162</v>
      </c>
      <c r="B460" t="s">
        <v>2022</v>
      </c>
      <c r="C460">
        <v>48.945555539200001</v>
      </c>
      <c r="D460">
        <v>2.3473129251699998</v>
      </c>
      <c r="E460" t="s">
        <v>2174</v>
      </c>
    </row>
    <row r="461" spans="1:5" x14ac:dyDescent="0.2">
      <c r="A461" t="s">
        <v>3163</v>
      </c>
      <c r="B461" t="s">
        <v>2023</v>
      </c>
      <c r="C461">
        <v>48.959675954049999</v>
      </c>
      <c r="D461">
        <v>2.3427341726349997</v>
      </c>
      <c r="E461" t="s">
        <v>2319</v>
      </c>
    </row>
    <row r="462" spans="1:5" x14ac:dyDescent="0.2">
      <c r="A462" t="s">
        <v>3164</v>
      </c>
      <c r="B462" t="s">
        <v>2024</v>
      </c>
      <c r="C462">
        <v>48.956671845999999</v>
      </c>
      <c r="D462">
        <v>2.3431092357300001</v>
      </c>
      <c r="E462" t="s">
        <v>2177</v>
      </c>
    </row>
    <row r="463" spans="1:5" x14ac:dyDescent="0.2">
      <c r="A463" t="s">
        <v>3165</v>
      </c>
      <c r="B463" t="s">
        <v>2025</v>
      </c>
      <c r="C463">
        <v>48.952726329900003</v>
      </c>
      <c r="D463">
        <v>2.3434612795300001</v>
      </c>
      <c r="E463" t="s">
        <v>2179</v>
      </c>
    </row>
    <row r="464" spans="1:5" x14ac:dyDescent="0.2">
      <c r="A464" t="s">
        <v>3166</v>
      </c>
      <c r="B464" t="s">
        <v>2026</v>
      </c>
      <c r="C464">
        <v>48.9495813451</v>
      </c>
      <c r="D464">
        <v>2.34252182604</v>
      </c>
      <c r="E464" t="s">
        <v>2181</v>
      </c>
    </row>
    <row r="465" spans="1:5" x14ac:dyDescent="0.2">
      <c r="A465" t="s">
        <v>3167</v>
      </c>
      <c r="B465" t="s">
        <v>2027</v>
      </c>
      <c r="C465">
        <v>48.939688708699997</v>
      </c>
      <c r="D465">
        <v>2.3452075059299999</v>
      </c>
      <c r="E465" t="s">
        <v>2183</v>
      </c>
    </row>
    <row r="466" spans="1:5" x14ac:dyDescent="0.2">
      <c r="A466" t="s">
        <v>3168</v>
      </c>
      <c r="B466" t="s">
        <v>2028</v>
      </c>
      <c r="C466">
        <v>48.932051822699997</v>
      </c>
      <c r="D466">
        <v>2.3527019843899999</v>
      </c>
      <c r="E466" t="s">
        <v>2187</v>
      </c>
    </row>
    <row r="467" spans="1:5" x14ac:dyDescent="0.2">
      <c r="A467" t="s">
        <v>3169</v>
      </c>
      <c r="B467" t="s">
        <v>2030</v>
      </c>
      <c r="C467">
        <v>48.959128020999998</v>
      </c>
      <c r="D467">
        <v>2.3292756997600002</v>
      </c>
      <c r="E467" t="s">
        <v>2191</v>
      </c>
    </row>
    <row r="468" spans="1:5" x14ac:dyDescent="0.2">
      <c r="A468" t="s">
        <v>3170</v>
      </c>
      <c r="B468" t="s">
        <v>2031</v>
      </c>
      <c r="C468">
        <v>48.960162886900001</v>
      </c>
      <c r="D468">
        <v>2.3658421076599998</v>
      </c>
      <c r="E468" t="s">
        <v>2195</v>
      </c>
    </row>
    <row r="469" spans="1:5" x14ac:dyDescent="0.2">
      <c r="A469" t="s">
        <v>3171</v>
      </c>
      <c r="B469" t="s">
        <v>2032</v>
      </c>
      <c r="C469">
        <v>48.954929004500002</v>
      </c>
      <c r="D469">
        <v>2.39095508616</v>
      </c>
      <c r="E469" t="s">
        <v>2197</v>
      </c>
    </row>
    <row r="470" spans="1:5" x14ac:dyDescent="0.2">
      <c r="A470" t="s">
        <v>3172</v>
      </c>
      <c r="B470" t="s">
        <v>2033</v>
      </c>
      <c r="C470">
        <v>48.943630006699998</v>
      </c>
      <c r="D470">
        <v>2.4114734870099999</v>
      </c>
      <c r="E470" t="s">
        <v>2199</v>
      </c>
    </row>
    <row r="471" spans="1:5" x14ac:dyDescent="0.2">
      <c r="A471" t="s">
        <v>3173</v>
      </c>
      <c r="B471" t="s">
        <v>2034</v>
      </c>
      <c r="C471">
        <v>48.93047287505</v>
      </c>
      <c r="D471">
        <v>2.4246279896449998</v>
      </c>
      <c r="E471" t="s">
        <v>3231</v>
      </c>
    </row>
    <row r="472" spans="1:5" x14ac:dyDescent="0.2">
      <c r="A472" s="8" t="s">
        <v>3174</v>
      </c>
      <c r="B472" t="s">
        <v>2345</v>
      </c>
      <c r="C472">
        <v>49.047876203400001</v>
      </c>
      <c r="D472">
        <v>2.0109997599999998</v>
      </c>
      <c r="E472" t="s">
        <v>2351</v>
      </c>
    </row>
    <row r="473" spans="1:5" x14ac:dyDescent="0.2">
      <c r="A473" t="s">
        <v>3175</v>
      </c>
      <c r="B473" t="s">
        <v>2346</v>
      </c>
      <c r="C473">
        <v>49.049647005200001</v>
      </c>
      <c r="D473">
        <v>2.03429446048</v>
      </c>
      <c r="E473" t="s">
        <v>2352</v>
      </c>
    </row>
    <row r="474" spans="1:5" x14ac:dyDescent="0.2">
      <c r="A474" t="s">
        <v>3176</v>
      </c>
      <c r="B474" t="s">
        <v>2347</v>
      </c>
      <c r="C474">
        <v>49.036463980699999</v>
      </c>
      <c r="D474">
        <v>2.0795349399999998</v>
      </c>
      <c r="E474" t="s">
        <v>2353</v>
      </c>
    </row>
    <row r="475" spans="1:5" x14ac:dyDescent="0.2">
      <c r="A475" t="s">
        <v>3177</v>
      </c>
      <c r="B475" t="s">
        <v>2348</v>
      </c>
      <c r="C475">
        <v>49.014133684999997</v>
      </c>
      <c r="D475">
        <v>2.0783065914100001</v>
      </c>
      <c r="E475" t="s">
        <v>2354</v>
      </c>
    </row>
    <row r="476" spans="1:5" x14ac:dyDescent="0.2">
      <c r="A476" t="s">
        <v>3178</v>
      </c>
      <c r="B476" t="s">
        <v>2349</v>
      </c>
      <c r="C476">
        <v>48.991012548699999</v>
      </c>
      <c r="D476">
        <v>2.07376988648</v>
      </c>
      <c r="E476" t="s">
        <v>2355</v>
      </c>
    </row>
    <row r="477" spans="1:5" x14ac:dyDescent="0.2">
      <c r="A477" t="s">
        <v>3179</v>
      </c>
      <c r="B477" t="s">
        <v>2350</v>
      </c>
      <c r="C477">
        <v>48.970665048299999</v>
      </c>
      <c r="D477">
        <v>2.0777317659299999</v>
      </c>
      <c r="E477" t="s">
        <v>2356</v>
      </c>
    </row>
    <row r="478" spans="1:5" x14ac:dyDescent="0.2">
      <c r="A478" t="s">
        <v>3180</v>
      </c>
      <c r="B478" t="s">
        <v>2380</v>
      </c>
      <c r="C478">
        <v>48.933265406099999</v>
      </c>
      <c r="D478">
        <v>2.0410722896800002</v>
      </c>
      <c r="E478" t="s">
        <v>2357</v>
      </c>
    </row>
    <row r="479" spans="1:5" x14ac:dyDescent="0.2">
      <c r="A479" t="s">
        <v>3181</v>
      </c>
      <c r="B479" t="s">
        <v>2381</v>
      </c>
      <c r="C479">
        <v>48.9554022445</v>
      </c>
      <c r="D479">
        <v>2.0935219029500001</v>
      </c>
      <c r="E479" t="s">
        <v>2358</v>
      </c>
    </row>
    <row r="480" spans="1:5" x14ac:dyDescent="0.2">
      <c r="A480" t="s">
        <v>3182</v>
      </c>
      <c r="B480" t="s">
        <v>2382</v>
      </c>
      <c r="C480">
        <v>48.945795934499998</v>
      </c>
      <c r="D480">
        <v>2.1445587568</v>
      </c>
      <c r="E480" t="s">
        <v>2359</v>
      </c>
    </row>
    <row r="481" spans="1:5" x14ac:dyDescent="0.2">
      <c r="A481" t="s">
        <v>3183</v>
      </c>
      <c r="B481" t="s">
        <v>2383</v>
      </c>
      <c r="C481">
        <v>48.937736062500001</v>
      </c>
      <c r="D481">
        <v>2.15708649785</v>
      </c>
      <c r="E481" t="s">
        <v>2360</v>
      </c>
    </row>
    <row r="482" spans="1:5" x14ac:dyDescent="0.2">
      <c r="A482" t="s">
        <v>3184</v>
      </c>
      <c r="B482" t="s">
        <v>2384</v>
      </c>
      <c r="C482">
        <v>48.9203793748</v>
      </c>
      <c r="D482">
        <v>2.1853533762900001</v>
      </c>
      <c r="E482" t="s">
        <v>2361</v>
      </c>
    </row>
    <row r="483" spans="1:5" x14ac:dyDescent="0.2">
      <c r="A483" t="s">
        <v>3185</v>
      </c>
      <c r="B483" t="s">
        <v>2385</v>
      </c>
      <c r="C483">
        <v>48.8980764111</v>
      </c>
      <c r="D483">
        <v>2.0948366282999999</v>
      </c>
      <c r="E483" t="s">
        <v>2362</v>
      </c>
    </row>
    <row r="484" spans="1:5" x14ac:dyDescent="0.2">
      <c r="A484" t="s">
        <v>3186</v>
      </c>
      <c r="B484" t="s">
        <v>2386</v>
      </c>
      <c r="C484">
        <v>48.8979734463</v>
      </c>
      <c r="D484">
        <v>2.12211744747</v>
      </c>
      <c r="E484" s="8" t="s">
        <v>2363</v>
      </c>
    </row>
    <row r="485" spans="1:5" x14ac:dyDescent="0.2">
      <c r="A485" t="s">
        <v>3187</v>
      </c>
      <c r="B485" t="s">
        <v>2387</v>
      </c>
      <c r="C485">
        <v>48.890086235600002</v>
      </c>
      <c r="D485">
        <v>2.1346008752299999</v>
      </c>
      <c r="E485" t="s">
        <v>2364</v>
      </c>
    </row>
    <row r="486" spans="1:5" x14ac:dyDescent="0.2">
      <c r="A486" t="s">
        <v>3188</v>
      </c>
      <c r="B486" t="s">
        <v>2388</v>
      </c>
      <c r="C486">
        <v>48.885211218199998</v>
      </c>
      <c r="D486">
        <v>2.1559034718999999</v>
      </c>
      <c r="E486" t="s">
        <v>2365</v>
      </c>
    </row>
    <row r="487" spans="1:5" x14ac:dyDescent="0.2">
      <c r="A487" t="s">
        <v>3189</v>
      </c>
      <c r="B487" t="s">
        <v>2389</v>
      </c>
      <c r="C487">
        <v>48.887573618600001</v>
      </c>
      <c r="D487">
        <v>2.1725794490800001</v>
      </c>
      <c r="E487" t="s">
        <v>2366</v>
      </c>
    </row>
    <row r="488" spans="1:5" x14ac:dyDescent="0.2">
      <c r="A488" t="s">
        <v>3190</v>
      </c>
      <c r="B488" t="s">
        <v>2390</v>
      </c>
      <c r="C488">
        <v>48.895125891299998</v>
      </c>
      <c r="D488">
        <v>2.1953639869099999</v>
      </c>
      <c r="E488" t="s">
        <v>2367</v>
      </c>
    </row>
    <row r="489" spans="1:5" x14ac:dyDescent="0.2">
      <c r="A489" t="s">
        <v>3191</v>
      </c>
      <c r="B489" t="s">
        <v>2391</v>
      </c>
      <c r="C489">
        <v>48.9015496743</v>
      </c>
      <c r="D489">
        <v>2.2152323472700002</v>
      </c>
      <c r="E489" t="s">
        <v>2368</v>
      </c>
    </row>
    <row r="490" spans="1:5" x14ac:dyDescent="0.2">
      <c r="A490" t="s">
        <v>3192</v>
      </c>
      <c r="B490" t="s">
        <v>2392</v>
      </c>
      <c r="C490">
        <v>48.895745312099997</v>
      </c>
      <c r="D490">
        <v>2.2232129670299998</v>
      </c>
      <c r="E490" t="s">
        <v>2369</v>
      </c>
    </row>
    <row r="491" spans="1:5" x14ac:dyDescent="0.2">
      <c r="A491" t="s">
        <v>3198</v>
      </c>
      <c r="B491" t="s">
        <v>2395</v>
      </c>
      <c r="C491">
        <v>48.847308359499998</v>
      </c>
      <c r="D491">
        <v>2.4332997176400002</v>
      </c>
      <c r="E491" t="s">
        <v>2376</v>
      </c>
    </row>
    <row r="492" spans="1:5" x14ac:dyDescent="0.2">
      <c r="A492" t="s">
        <v>3199</v>
      </c>
      <c r="B492" t="s">
        <v>2396</v>
      </c>
      <c r="C492">
        <v>48.853795576499998</v>
      </c>
      <c r="D492">
        <v>2.48818757518</v>
      </c>
      <c r="E492" t="s">
        <v>2377</v>
      </c>
    </row>
    <row r="493" spans="1:5" x14ac:dyDescent="0.2">
      <c r="A493" t="s">
        <v>3200</v>
      </c>
      <c r="B493" t="s">
        <v>2397</v>
      </c>
      <c r="C493">
        <v>48.853485712999998</v>
      </c>
      <c r="D493">
        <v>2.5138252910299999</v>
      </c>
      <c r="E493" t="s">
        <v>2378</v>
      </c>
    </row>
    <row r="494" spans="1:5" x14ac:dyDescent="0.2">
      <c r="A494" t="s">
        <v>3201</v>
      </c>
      <c r="B494" t="s">
        <v>2398</v>
      </c>
      <c r="C494">
        <v>48.844901138700003</v>
      </c>
      <c r="D494">
        <v>2.5259225465699999</v>
      </c>
      <c r="E494" t="s">
        <v>2379</v>
      </c>
    </row>
    <row r="495" spans="1:5" x14ac:dyDescent="0.2">
      <c r="A495" t="s">
        <v>3202</v>
      </c>
      <c r="B495" t="s">
        <v>2399</v>
      </c>
      <c r="C495">
        <v>48.840843431899998</v>
      </c>
      <c r="D495">
        <v>2.5477751892999998</v>
      </c>
      <c r="E495" t="s">
        <v>2442</v>
      </c>
    </row>
    <row r="496" spans="1:5" x14ac:dyDescent="0.2">
      <c r="A496" t="s">
        <v>3203</v>
      </c>
      <c r="B496" t="s">
        <v>2400</v>
      </c>
      <c r="C496">
        <v>48.842884840799996</v>
      </c>
      <c r="D496">
        <v>2.5800859119699999</v>
      </c>
      <c r="E496" t="s">
        <v>2444</v>
      </c>
    </row>
    <row r="497" spans="1:5" x14ac:dyDescent="0.2">
      <c r="A497" t="s">
        <v>3204</v>
      </c>
      <c r="B497" t="s">
        <v>2401</v>
      </c>
      <c r="C497">
        <v>48.843491648700002</v>
      </c>
      <c r="D497">
        <v>2.6159524885000001</v>
      </c>
      <c r="E497" t="s">
        <v>2446</v>
      </c>
    </row>
    <row r="498" spans="1:5" x14ac:dyDescent="0.2">
      <c r="A498" t="s">
        <v>3205</v>
      </c>
      <c r="B498" t="s">
        <v>2402</v>
      </c>
      <c r="C498">
        <v>48.839219300000003</v>
      </c>
      <c r="D498">
        <v>2.6332109134200001</v>
      </c>
      <c r="E498" t="s">
        <v>2448</v>
      </c>
    </row>
    <row r="499" spans="1:5" x14ac:dyDescent="0.2">
      <c r="A499" t="s">
        <v>3206</v>
      </c>
      <c r="B499" t="s">
        <v>2403</v>
      </c>
      <c r="C499">
        <v>48.839645517299999</v>
      </c>
      <c r="D499">
        <v>2.6551300866399998</v>
      </c>
      <c r="E499" t="s">
        <v>2450</v>
      </c>
    </row>
    <row r="500" spans="1:5" x14ac:dyDescent="0.2">
      <c r="A500" t="s">
        <v>3207</v>
      </c>
      <c r="B500" t="s">
        <v>2404</v>
      </c>
      <c r="C500">
        <v>48.836536432899997</v>
      </c>
      <c r="D500">
        <v>2.7089817422600002</v>
      </c>
      <c r="E500" t="s">
        <v>2452</v>
      </c>
    </row>
    <row r="501" spans="1:5" x14ac:dyDescent="0.2">
      <c r="A501" t="s">
        <v>3208</v>
      </c>
      <c r="B501" t="s">
        <v>2405</v>
      </c>
      <c r="C501">
        <v>48.855394809000003</v>
      </c>
      <c r="D501">
        <v>2.7734339178799998</v>
      </c>
      <c r="E501" t="s">
        <v>2454</v>
      </c>
    </row>
    <row r="502" spans="1:5" x14ac:dyDescent="0.2">
      <c r="A502" t="s">
        <v>3209</v>
      </c>
      <c r="B502" t="s">
        <v>2406</v>
      </c>
      <c r="C502">
        <v>48.869950134900002</v>
      </c>
      <c r="D502">
        <v>2.78222672345</v>
      </c>
      <c r="E502" t="s">
        <v>2456</v>
      </c>
    </row>
    <row r="503" spans="1:5" x14ac:dyDescent="0.2">
      <c r="A503" t="s">
        <v>3210</v>
      </c>
      <c r="B503" t="s">
        <v>2407</v>
      </c>
      <c r="C503">
        <v>48.843720261599998</v>
      </c>
      <c r="D503">
        <v>2.46370803804</v>
      </c>
      <c r="E503" t="s">
        <v>2457</v>
      </c>
    </row>
    <row r="504" spans="1:5" x14ac:dyDescent="0.2">
      <c r="A504" t="s">
        <v>3211</v>
      </c>
      <c r="B504" t="s">
        <v>2408</v>
      </c>
      <c r="C504">
        <v>48.834288898899999</v>
      </c>
      <c r="D504">
        <v>2.4716812412100002</v>
      </c>
      <c r="E504" t="s">
        <v>2459</v>
      </c>
    </row>
    <row r="505" spans="1:5" x14ac:dyDescent="0.2">
      <c r="A505" t="s">
        <v>3212</v>
      </c>
      <c r="B505" t="s">
        <v>2409</v>
      </c>
      <c r="C505">
        <v>48.821038815100003</v>
      </c>
      <c r="D505">
        <v>2.4638567953599999</v>
      </c>
      <c r="E505" t="s">
        <v>2461</v>
      </c>
    </row>
    <row r="506" spans="1:5" x14ac:dyDescent="0.2">
      <c r="A506" t="s">
        <v>3213</v>
      </c>
      <c r="B506" t="s">
        <v>2410</v>
      </c>
      <c r="C506">
        <v>48.806200024799999</v>
      </c>
      <c r="D506">
        <v>2.4727204037999999</v>
      </c>
      <c r="E506" t="s">
        <v>2463</v>
      </c>
    </row>
    <row r="507" spans="1:5" x14ac:dyDescent="0.2">
      <c r="A507" t="s">
        <v>3214</v>
      </c>
      <c r="B507" t="s">
        <v>2411</v>
      </c>
      <c r="C507">
        <v>48.805377662200002</v>
      </c>
      <c r="D507">
        <v>2.4863497487799999</v>
      </c>
      <c r="E507" t="s">
        <v>2465</v>
      </c>
    </row>
    <row r="508" spans="1:5" x14ac:dyDescent="0.2">
      <c r="A508" t="s">
        <v>3215</v>
      </c>
      <c r="B508" t="s">
        <v>2412</v>
      </c>
      <c r="C508">
        <v>48.806985071600003</v>
      </c>
      <c r="D508">
        <v>2.5103072371200001</v>
      </c>
      <c r="E508" t="s">
        <v>2467</v>
      </c>
    </row>
    <row r="509" spans="1:5" x14ac:dyDescent="0.2">
      <c r="A509" t="s">
        <v>3216</v>
      </c>
      <c r="B509" t="s">
        <v>2413</v>
      </c>
      <c r="C509">
        <v>48.795383835599999</v>
      </c>
      <c r="D509">
        <v>2.5134232995499999</v>
      </c>
      <c r="E509" t="s">
        <v>2469</v>
      </c>
    </row>
    <row r="510" spans="1:5" x14ac:dyDescent="0.2">
      <c r="A510" t="s">
        <v>3217</v>
      </c>
      <c r="B510" t="s">
        <v>2414</v>
      </c>
      <c r="C510">
        <v>48.771707906099998</v>
      </c>
      <c r="D510">
        <v>2.5074826457200001</v>
      </c>
      <c r="E510" t="s">
        <v>2471</v>
      </c>
    </row>
    <row r="511" spans="1:5" x14ac:dyDescent="0.2">
      <c r="A511" t="s">
        <v>3218</v>
      </c>
      <c r="B511" t="s">
        <v>2415</v>
      </c>
      <c r="C511">
        <v>48.752185723499998</v>
      </c>
      <c r="D511">
        <v>2.5045598383200001</v>
      </c>
      <c r="E511" t="s">
        <v>2473</v>
      </c>
    </row>
    <row r="512" spans="1:5" x14ac:dyDescent="0.2">
      <c r="A512" t="s">
        <v>3219</v>
      </c>
      <c r="B512" t="s">
        <v>2529</v>
      </c>
      <c r="C512">
        <v>49.0097564521</v>
      </c>
      <c r="D512">
        <v>2.5612326952300002</v>
      </c>
      <c r="E512" t="s">
        <v>2482</v>
      </c>
    </row>
    <row r="513" spans="1:5" x14ac:dyDescent="0.2">
      <c r="A513" t="s">
        <v>3220</v>
      </c>
      <c r="B513" t="s">
        <v>2530</v>
      </c>
      <c r="C513">
        <v>49.004687461800003</v>
      </c>
      <c r="D513">
        <v>2.5705894855200002</v>
      </c>
      <c r="E513" t="s">
        <v>2483</v>
      </c>
    </row>
    <row r="514" spans="1:5" x14ac:dyDescent="0.2">
      <c r="A514" t="s">
        <v>3221</v>
      </c>
      <c r="B514" t="s">
        <v>2531</v>
      </c>
      <c r="C514">
        <v>48.973424906299996</v>
      </c>
      <c r="D514">
        <v>2.5143602841799999</v>
      </c>
      <c r="E514" t="s">
        <v>2484</v>
      </c>
    </row>
    <row r="515" spans="1:5" x14ac:dyDescent="0.2">
      <c r="A515" t="s">
        <v>3222</v>
      </c>
      <c r="B515" t="s">
        <v>2532</v>
      </c>
      <c r="C515">
        <v>48.962709513299998</v>
      </c>
      <c r="D515">
        <v>2.5126446278199999</v>
      </c>
      <c r="E515" t="s">
        <v>2485</v>
      </c>
    </row>
    <row r="516" spans="1:5" x14ac:dyDescent="0.2">
      <c r="A516" t="s">
        <v>3223</v>
      </c>
      <c r="B516" t="s">
        <v>2533</v>
      </c>
      <c r="C516">
        <v>48.947607555899999</v>
      </c>
      <c r="D516">
        <v>2.52471638941</v>
      </c>
      <c r="E516" t="s">
        <v>2486</v>
      </c>
    </row>
    <row r="517" spans="1:5" x14ac:dyDescent="0.2">
      <c r="A517" t="s">
        <v>3224</v>
      </c>
      <c r="B517" t="s">
        <v>2534</v>
      </c>
      <c r="C517">
        <v>48.975858755799997</v>
      </c>
      <c r="D517">
        <v>2.6424063050300002</v>
      </c>
      <c r="E517" t="s">
        <v>2487</v>
      </c>
    </row>
    <row r="518" spans="1:5" x14ac:dyDescent="0.2">
      <c r="A518" t="s">
        <v>3225</v>
      </c>
      <c r="B518" t="s">
        <v>2535</v>
      </c>
      <c r="C518">
        <v>48.953148387600002</v>
      </c>
      <c r="D518">
        <v>2.6031353051199999</v>
      </c>
      <c r="E518" t="s">
        <v>2488</v>
      </c>
    </row>
    <row r="519" spans="1:5" x14ac:dyDescent="0.2">
      <c r="A519" t="s">
        <v>3226</v>
      </c>
      <c r="B519" t="s">
        <v>2536</v>
      </c>
      <c r="C519">
        <v>48.944181065099997</v>
      </c>
      <c r="D519">
        <v>2.5664480169699999</v>
      </c>
      <c r="E519" t="s">
        <v>2489</v>
      </c>
    </row>
    <row r="520" spans="1:5" x14ac:dyDescent="0.2">
      <c r="A520" t="s">
        <v>3227</v>
      </c>
      <c r="B520" t="s">
        <v>2537</v>
      </c>
      <c r="C520">
        <v>48.936280185699999</v>
      </c>
      <c r="D520">
        <v>2.5347149774700002</v>
      </c>
      <c r="E520" t="s">
        <v>2490</v>
      </c>
    </row>
    <row r="521" spans="1:5" x14ac:dyDescent="0.2">
      <c r="A521" t="s">
        <v>3229</v>
      </c>
      <c r="B521" t="s">
        <v>2538</v>
      </c>
      <c r="C521">
        <v>48.9323054161</v>
      </c>
      <c r="D521">
        <v>2.4756743708300002</v>
      </c>
      <c r="E521" t="s">
        <v>2492</v>
      </c>
    </row>
    <row r="522" spans="1:5" x14ac:dyDescent="0.2">
      <c r="A522" t="s">
        <v>3232</v>
      </c>
      <c r="B522" t="s">
        <v>2539</v>
      </c>
      <c r="C522">
        <v>48.9243538797</v>
      </c>
      <c r="D522">
        <v>2.3863882910599998</v>
      </c>
      <c r="E522" t="s">
        <v>2495</v>
      </c>
    </row>
    <row r="523" spans="1:5" x14ac:dyDescent="0.2">
      <c r="A523" t="s">
        <v>3233</v>
      </c>
      <c r="B523" t="s">
        <v>2540</v>
      </c>
      <c r="C523">
        <v>48.918113804000001</v>
      </c>
      <c r="D523">
        <v>2.3626656001800002</v>
      </c>
      <c r="E523" t="s">
        <v>2496</v>
      </c>
    </row>
    <row r="524" spans="1:5" x14ac:dyDescent="0.2">
      <c r="A524" t="s">
        <v>3236</v>
      </c>
      <c r="B524" t="s">
        <v>2541</v>
      </c>
      <c r="C524">
        <v>48.853335796499998</v>
      </c>
      <c r="D524">
        <v>2.3460349844400001</v>
      </c>
      <c r="E524" t="s">
        <v>2499</v>
      </c>
    </row>
    <row r="525" spans="1:5" x14ac:dyDescent="0.2">
      <c r="A525" t="s">
        <v>3237</v>
      </c>
      <c r="B525" t="s">
        <v>2542</v>
      </c>
      <c r="C525">
        <v>48.845743073199998</v>
      </c>
      <c r="D525">
        <v>2.33992799972</v>
      </c>
      <c r="E525" t="s">
        <v>2500</v>
      </c>
    </row>
    <row r="526" spans="1:5" x14ac:dyDescent="0.2">
      <c r="A526" t="s">
        <v>3238</v>
      </c>
      <c r="B526" t="s">
        <v>2543</v>
      </c>
      <c r="C526">
        <v>48.840033786500001</v>
      </c>
      <c r="D526">
        <v>2.33709643089</v>
      </c>
      <c r="E526" t="s">
        <v>2501</v>
      </c>
    </row>
    <row r="527" spans="1:5" x14ac:dyDescent="0.2">
      <c r="A527" t="s">
        <v>3241</v>
      </c>
      <c r="B527" t="s">
        <v>2544</v>
      </c>
      <c r="C527">
        <v>48.815229936500003</v>
      </c>
      <c r="D527">
        <v>2.3408911324199999</v>
      </c>
      <c r="E527" t="s">
        <v>2504</v>
      </c>
    </row>
    <row r="528" spans="1:5" x14ac:dyDescent="0.2">
      <c r="A528" t="s">
        <v>3242</v>
      </c>
      <c r="B528" t="s">
        <v>2545</v>
      </c>
      <c r="C528">
        <v>48.808296586799997</v>
      </c>
      <c r="D528">
        <v>2.3343543069399999</v>
      </c>
      <c r="E528" t="s">
        <v>2505</v>
      </c>
    </row>
    <row r="529" spans="1:5" x14ac:dyDescent="0.2">
      <c r="A529" t="s">
        <v>3243</v>
      </c>
      <c r="B529" t="s">
        <v>2546</v>
      </c>
      <c r="C529">
        <v>48.798892500100003</v>
      </c>
      <c r="D529">
        <v>2.3281369230600002</v>
      </c>
      <c r="E529" t="s">
        <v>2506</v>
      </c>
    </row>
    <row r="530" spans="1:5" x14ac:dyDescent="0.2">
      <c r="A530" t="s">
        <v>3244</v>
      </c>
      <c r="B530" t="s">
        <v>2547</v>
      </c>
      <c r="C530">
        <v>48.793336296200003</v>
      </c>
      <c r="D530">
        <v>2.3222016336700002</v>
      </c>
      <c r="E530" t="s">
        <v>2507</v>
      </c>
    </row>
    <row r="531" spans="1:5" x14ac:dyDescent="0.2">
      <c r="A531" t="s">
        <v>3245</v>
      </c>
      <c r="B531" t="s">
        <v>2548</v>
      </c>
      <c r="C531">
        <v>48.780313796400002</v>
      </c>
      <c r="D531">
        <v>2.3123077168899999</v>
      </c>
      <c r="E531" t="s">
        <v>2508</v>
      </c>
    </row>
    <row r="532" spans="1:5" x14ac:dyDescent="0.2">
      <c r="A532" t="s">
        <v>3246</v>
      </c>
      <c r="B532" t="s">
        <v>2549</v>
      </c>
      <c r="C532">
        <v>48.781356720399998</v>
      </c>
      <c r="D532">
        <v>2.2976476791699998</v>
      </c>
      <c r="E532" t="s">
        <v>2509</v>
      </c>
    </row>
    <row r="533" spans="1:5" x14ac:dyDescent="0.2">
      <c r="A533" t="s">
        <v>3247</v>
      </c>
      <c r="B533" t="s">
        <v>2550</v>
      </c>
      <c r="C533">
        <v>48.787614679999997</v>
      </c>
      <c r="D533">
        <v>2.2924929805600001</v>
      </c>
      <c r="E533" t="s">
        <v>2510</v>
      </c>
    </row>
    <row r="534" spans="1:5" x14ac:dyDescent="0.2">
      <c r="A534" t="s">
        <v>3248</v>
      </c>
      <c r="B534" t="s">
        <v>2551</v>
      </c>
      <c r="C534">
        <v>48.780237298000003</v>
      </c>
      <c r="D534">
        <v>2.2814305954299998</v>
      </c>
      <c r="E534" t="s">
        <v>2511</v>
      </c>
    </row>
    <row r="535" spans="1:5" x14ac:dyDescent="0.2">
      <c r="A535" t="s">
        <v>3249</v>
      </c>
      <c r="B535" t="s">
        <v>2552</v>
      </c>
      <c r="C535">
        <v>48.770721993499997</v>
      </c>
      <c r="D535">
        <v>2.3102054518799999</v>
      </c>
      <c r="E535" t="s">
        <v>2512</v>
      </c>
    </row>
    <row r="536" spans="1:5" x14ac:dyDescent="0.2">
      <c r="A536" t="s">
        <v>3250</v>
      </c>
      <c r="B536" t="s">
        <v>2553</v>
      </c>
      <c r="C536">
        <v>48.761693690400001</v>
      </c>
      <c r="D536">
        <v>2.3042273461899998</v>
      </c>
      <c r="E536" t="s">
        <v>2513</v>
      </c>
    </row>
    <row r="537" spans="1:5" x14ac:dyDescent="0.2">
      <c r="A537" t="s">
        <v>3251</v>
      </c>
      <c r="B537" t="s">
        <v>2554</v>
      </c>
      <c r="C537">
        <v>48.754946526399998</v>
      </c>
      <c r="D537">
        <v>2.3009868557200002</v>
      </c>
      <c r="E537" t="s">
        <v>2514</v>
      </c>
    </row>
    <row r="538" spans="1:5" x14ac:dyDescent="0.2">
      <c r="A538" t="s">
        <v>3252</v>
      </c>
      <c r="B538" t="s">
        <v>2555</v>
      </c>
      <c r="C538">
        <v>48.743373402000003</v>
      </c>
      <c r="D538">
        <v>2.2963931575399998</v>
      </c>
      <c r="E538" t="s">
        <v>2515</v>
      </c>
    </row>
    <row r="539" spans="1:5" x14ac:dyDescent="0.2">
      <c r="A539" t="s">
        <v>3253</v>
      </c>
      <c r="B539" t="s">
        <v>2556</v>
      </c>
      <c r="C539">
        <v>48.739681043399997</v>
      </c>
      <c r="D539">
        <v>2.28766749545</v>
      </c>
      <c r="E539" t="s">
        <v>2516</v>
      </c>
    </row>
    <row r="540" spans="1:5" x14ac:dyDescent="0.2">
      <c r="A540" t="s">
        <v>3254</v>
      </c>
      <c r="B540" t="s">
        <v>2557</v>
      </c>
      <c r="C540">
        <v>48.734716586799998</v>
      </c>
      <c r="D540">
        <v>2.2734834643999999</v>
      </c>
      <c r="E540" t="s">
        <v>2517</v>
      </c>
    </row>
    <row r="541" spans="1:5" x14ac:dyDescent="0.2">
      <c r="A541" t="s">
        <v>3255</v>
      </c>
      <c r="B541" t="s">
        <v>2568</v>
      </c>
      <c r="C541">
        <v>48.724309419199997</v>
      </c>
      <c r="D541">
        <v>2.25896643431</v>
      </c>
      <c r="E541" t="s">
        <v>2518</v>
      </c>
    </row>
    <row r="542" spans="1:5" x14ac:dyDescent="0.2">
      <c r="A542" t="s">
        <v>3256</v>
      </c>
      <c r="B542" t="s">
        <v>2558</v>
      </c>
      <c r="C542">
        <v>48.716946287600003</v>
      </c>
      <c r="D542">
        <v>2.2456725145799998</v>
      </c>
      <c r="E542" t="s">
        <v>2519</v>
      </c>
    </row>
    <row r="543" spans="1:5" x14ac:dyDescent="0.2">
      <c r="A543" s="8" t="s">
        <v>3257</v>
      </c>
      <c r="B543" t="s">
        <v>2559</v>
      </c>
      <c r="C543">
        <v>48.708140583599999</v>
      </c>
      <c r="D543">
        <v>2.23731436464</v>
      </c>
      <c r="E543" t="s">
        <v>2520</v>
      </c>
    </row>
    <row r="544" spans="1:5" x14ac:dyDescent="0.2">
      <c r="A544" t="s">
        <v>3258</v>
      </c>
      <c r="B544" t="s">
        <v>2560</v>
      </c>
      <c r="C544">
        <v>48.705968984800002</v>
      </c>
      <c r="D544">
        <v>2.2122623780200001</v>
      </c>
      <c r="E544" t="s">
        <v>2521</v>
      </c>
    </row>
    <row r="545" spans="1:5" x14ac:dyDescent="0.2">
      <c r="A545" t="s">
        <v>3259</v>
      </c>
      <c r="B545" t="s">
        <v>2561</v>
      </c>
      <c r="C545">
        <v>48.705403924800002</v>
      </c>
      <c r="D545">
        <v>2.1927348848100001</v>
      </c>
      <c r="E545" s="8" t="s">
        <v>2522</v>
      </c>
    </row>
    <row r="546" spans="1:5" x14ac:dyDescent="0.2">
      <c r="A546" t="s">
        <v>3260</v>
      </c>
      <c r="B546" t="s">
        <v>2562</v>
      </c>
      <c r="C546">
        <v>48.697505669900004</v>
      </c>
      <c r="D546">
        <v>2.1810544376999998</v>
      </c>
      <c r="E546" t="s">
        <v>2523</v>
      </c>
    </row>
    <row r="547" spans="1:5" x14ac:dyDescent="0.2">
      <c r="A547" t="s">
        <v>3261</v>
      </c>
      <c r="B547" t="s">
        <v>2563</v>
      </c>
      <c r="C547">
        <v>48.696252746900001</v>
      </c>
      <c r="D547">
        <v>2.1643782427899998</v>
      </c>
      <c r="E547" t="s">
        <v>2524</v>
      </c>
    </row>
    <row r="548" spans="1:5" x14ac:dyDescent="0.2">
      <c r="A548" t="s">
        <v>3262</v>
      </c>
      <c r="B548" t="s">
        <v>2564</v>
      </c>
      <c r="C548">
        <v>48.695264122099999</v>
      </c>
      <c r="D548">
        <v>2.1516420386199999</v>
      </c>
      <c r="E548" t="s">
        <v>2525</v>
      </c>
    </row>
    <row r="549" spans="1:5" x14ac:dyDescent="0.2">
      <c r="A549" t="s">
        <v>3263</v>
      </c>
      <c r="B549" t="s">
        <v>2565</v>
      </c>
      <c r="C549">
        <v>48.698196976299997</v>
      </c>
      <c r="D549">
        <v>2.13656671706</v>
      </c>
      <c r="E549" t="s">
        <v>2526</v>
      </c>
    </row>
    <row r="550" spans="1:5" x14ac:dyDescent="0.2">
      <c r="A550" t="s">
        <v>3264</v>
      </c>
      <c r="B550" t="s">
        <v>2566</v>
      </c>
      <c r="C550">
        <v>48.701217721200003</v>
      </c>
      <c r="D550">
        <v>2.0979758556900001</v>
      </c>
      <c r="E550" t="s">
        <v>2527</v>
      </c>
    </row>
    <row r="551" spans="1:5" x14ac:dyDescent="0.2">
      <c r="A551" t="s">
        <v>3265</v>
      </c>
      <c r="B551" t="s">
        <v>2567</v>
      </c>
      <c r="C551">
        <v>48.702751042999999</v>
      </c>
      <c r="D551">
        <v>2.0712428490199999</v>
      </c>
      <c r="E551" t="s">
        <v>2528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ZB677"/>
  <sheetViews>
    <sheetView zoomScale="40" zoomScaleNormal="40" workbookViewId="0">
      <selection activeCell="Y169" sqref="Y169"/>
    </sheetView>
  </sheetViews>
  <sheetFormatPr baseColWidth="10" defaultColWidth="3.5703125" defaultRowHeight="12.75" x14ac:dyDescent="0.2"/>
  <cols>
    <col min="1" max="1" width="4.42578125" bestFit="1" customWidth="1"/>
    <col min="2" max="2" width="2.5703125" bestFit="1" customWidth="1"/>
    <col min="3" max="26" width="4.42578125" bestFit="1" customWidth="1"/>
    <col min="27" max="27" width="3.42578125" bestFit="1" customWidth="1"/>
    <col min="28" max="51" width="5.42578125" bestFit="1" customWidth="1"/>
    <col min="52" max="52" width="3.42578125" bestFit="1" customWidth="1"/>
    <col min="53" max="76" width="5.42578125" bestFit="1" customWidth="1"/>
    <col min="77" max="77" width="3.42578125" bestFit="1" customWidth="1"/>
    <col min="78" max="80" width="5.42578125" bestFit="1" customWidth="1"/>
    <col min="81" max="81" width="3.42578125" bestFit="1" customWidth="1"/>
    <col min="82" max="107" width="5.42578125" bestFit="1" customWidth="1"/>
    <col min="108" max="108" width="4.42578125" bestFit="1" customWidth="1"/>
    <col min="109" max="129" width="5.42578125" bestFit="1" customWidth="1"/>
    <col min="130" max="130" width="4.42578125" bestFit="1" customWidth="1"/>
    <col min="131" max="157" width="5.42578125" bestFit="1" customWidth="1"/>
    <col min="158" max="158" width="4.42578125" bestFit="1" customWidth="1"/>
    <col min="159" max="195" width="5.42578125" bestFit="1" customWidth="1"/>
    <col min="196" max="196" width="4.42578125" bestFit="1" customWidth="1"/>
    <col min="197" max="203" width="5.42578125" bestFit="1" customWidth="1"/>
    <col min="204" max="204" width="4.42578125" bestFit="1" customWidth="1"/>
    <col min="205" max="241" width="5.42578125" bestFit="1" customWidth="1"/>
    <col min="242" max="242" width="4.42578125" bestFit="1" customWidth="1"/>
    <col min="243" max="278" width="5.42578125" bestFit="1" customWidth="1"/>
    <col min="279" max="279" width="4.42578125" bestFit="1" customWidth="1"/>
    <col min="280" max="301" width="5.42578125" bestFit="1" customWidth="1"/>
    <col min="302" max="302" width="4.42578125" bestFit="1" customWidth="1"/>
    <col min="303" max="314" width="5.42578125" bestFit="1" customWidth="1"/>
    <col min="315" max="315" width="4.42578125" bestFit="1" customWidth="1"/>
    <col min="316" max="343" width="5.42578125" bestFit="1" customWidth="1"/>
    <col min="344" max="344" width="4.42578125" bestFit="1" customWidth="1"/>
    <col min="345" max="351" width="5.42578125" bestFit="1" customWidth="1"/>
    <col min="352" max="352" width="4.42578125" bestFit="1" customWidth="1"/>
    <col min="353" max="375" width="5.42578125" bestFit="1" customWidth="1"/>
    <col min="376" max="376" width="4.42578125" bestFit="1" customWidth="1"/>
    <col min="377" max="384" width="5.42578125" bestFit="1" customWidth="1"/>
    <col min="385" max="385" width="4.42578125" bestFit="1" customWidth="1"/>
    <col min="386" max="420" width="5.42578125" bestFit="1" customWidth="1"/>
    <col min="421" max="421" width="4.42578125" bestFit="1" customWidth="1"/>
    <col min="422" max="444" width="5.42578125" bestFit="1" customWidth="1"/>
    <col min="445" max="445" width="4.42578125" bestFit="1" customWidth="1"/>
    <col min="446" max="469" width="5.42578125" bestFit="1" customWidth="1"/>
    <col min="470" max="507" width="4.42578125" bestFit="1" customWidth="1"/>
    <col min="508" max="522" width="5.42578125" bestFit="1" customWidth="1"/>
    <col min="523" max="544" width="4.42578125" bestFit="1" customWidth="1"/>
    <col min="545" max="561" width="5.42578125" bestFit="1" customWidth="1"/>
    <col min="562" max="585" width="4.42578125" bestFit="1" customWidth="1"/>
  </cols>
  <sheetData>
    <row r="1" spans="2:678" x14ac:dyDescent="0.2">
      <c r="B1">
        <v>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  <c r="GO1">
        <v>195</v>
      </c>
      <c r="GP1">
        <v>196</v>
      </c>
      <c r="GQ1">
        <v>197</v>
      </c>
      <c r="GR1">
        <v>198</v>
      </c>
      <c r="GS1">
        <v>199</v>
      </c>
      <c r="GT1">
        <v>200</v>
      </c>
      <c r="GU1">
        <v>201</v>
      </c>
      <c r="GV1">
        <v>202</v>
      </c>
      <c r="GW1">
        <v>203</v>
      </c>
      <c r="GX1">
        <v>204</v>
      </c>
      <c r="GY1">
        <v>205</v>
      </c>
      <c r="GZ1">
        <v>206</v>
      </c>
      <c r="HA1">
        <v>207</v>
      </c>
      <c r="HB1">
        <v>208</v>
      </c>
      <c r="HC1">
        <v>209</v>
      </c>
      <c r="HD1">
        <v>210</v>
      </c>
      <c r="HE1">
        <v>211</v>
      </c>
      <c r="HF1">
        <v>212</v>
      </c>
      <c r="HG1">
        <v>213</v>
      </c>
      <c r="HH1">
        <v>214</v>
      </c>
      <c r="HI1">
        <v>215</v>
      </c>
      <c r="HJ1">
        <v>216</v>
      </c>
      <c r="HK1">
        <v>217</v>
      </c>
      <c r="HL1">
        <v>218</v>
      </c>
      <c r="HM1">
        <v>219</v>
      </c>
      <c r="HN1">
        <v>220</v>
      </c>
      <c r="HO1">
        <v>221</v>
      </c>
      <c r="HP1">
        <v>222</v>
      </c>
      <c r="HQ1">
        <v>223</v>
      </c>
      <c r="HR1">
        <v>224</v>
      </c>
      <c r="HS1">
        <v>225</v>
      </c>
      <c r="HT1">
        <v>226</v>
      </c>
      <c r="HU1">
        <v>227</v>
      </c>
      <c r="HV1">
        <v>228</v>
      </c>
      <c r="HW1">
        <v>229</v>
      </c>
      <c r="HX1">
        <v>230</v>
      </c>
      <c r="HY1">
        <v>231</v>
      </c>
      <c r="HZ1">
        <v>232</v>
      </c>
      <c r="IA1">
        <v>233</v>
      </c>
      <c r="IB1">
        <v>234</v>
      </c>
      <c r="IC1">
        <v>235</v>
      </c>
      <c r="ID1">
        <v>236</v>
      </c>
      <c r="IE1">
        <v>237</v>
      </c>
      <c r="IF1">
        <v>238</v>
      </c>
      <c r="IG1">
        <v>239</v>
      </c>
      <c r="IH1">
        <v>240</v>
      </c>
      <c r="II1">
        <v>241</v>
      </c>
      <c r="IJ1">
        <v>242</v>
      </c>
      <c r="IK1">
        <v>243</v>
      </c>
      <c r="IL1">
        <v>244</v>
      </c>
      <c r="IM1">
        <v>245</v>
      </c>
      <c r="IN1">
        <v>246</v>
      </c>
      <c r="IO1">
        <v>247</v>
      </c>
      <c r="IP1">
        <v>248</v>
      </c>
      <c r="IQ1">
        <v>249</v>
      </c>
      <c r="IR1">
        <v>250</v>
      </c>
      <c r="IS1">
        <v>251</v>
      </c>
      <c r="IT1">
        <v>252</v>
      </c>
      <c r="IU1">
        <v>253</v>
      </c>
      <c r="IV1">
        <v>254</v>
      </c>
      <c r="IW1">
        <v>255</v>
      </c>
      <c r="IX1">
        <v>256</v>
      </c>
      <c r="IY1">
        <v>257</v>
      </c>
      <c r="IZ1">
        <v>258</v>
      </c>
      <c r="JA1">
        <v>259</v>
      </c>
      <c r="JB1">
        <v>260</v>
      </c>
      <c r="JC1">
        <v>261</v>
      </c>
      <c r="JD1">
        <v>262</v>
      </c>
      <c r="JE1">
        <v>263</v>
      </c>
      <c r="JF1">
        <v>264</v>
      </c>
      <c r="JG1">
        <v>265</v>
      </c>
      <c r="JH1">
        <v>266</v>
      </c>
      <c r="JI1">
        <v>267</v>
      </c>
      <c r="JJ1">
        <v>268</v>
      </c>
      <c r="JK1">
        <v>269</v>
      </c>
      <c r="JL1">
        <v>270</v>
      </c>
      <c r="JM1">
        <v>271</v>
      </c>
      <c r="JN1">
        <v>272</v>
      </c>
      <c r="JO1">
        <v>273</v>
      </c>
      <c r="JP1">
        <v>274</v>
      </c>
      <c r="JQ1">
        <v>275</v>
      </c>
      <c r="JR1">
        <v>276</v>
      </c>
      <c r="JS1">
        <v>277</v>
      </c>
      <c r="JT1">
        <v>278</v>
      </c>
      <c r="JU1">
        <v>279</v>
      </c>
      <c r="JV1">
        <v>280</v>
      </c>
      <c r="JW1">
        <v>281</v>
      </c>
      <c r="JX1">
        <v>282</v>
      </c>
      <c r="JY1">
        <v>283</v>
      </c>
      <c r="JZ1">
        <v>284</v>
      </c>
      <c r="KA1">
        <v>285</v>
      </c>
      <c r="KB1">
        <v>286</v>
      </c>
      <c r="KC1">
        <v>287</v>
      </c>
      <c r="KD1">
        <v>288</v>
      </c>
      <c r="KE1">
        <v>289</v>
      </c>
      <c r="KF1">
        <v>290</v>
      </c>
      <c r="KG1">
        <v>291</v>
      </c>
      <c r="KH1">
        <v>292</v>
      </c>
      <c r="KI1">
        <v>293</v>
      </c>
      <c r="KJ1">
        <v>294</v>
      </c>
      <c r="KK1">
        <v>295</v>
      </c>
      <c r="KL1">
        <v>296</v>
      </c>
      <c r="KM1">
        <v>297</v>
      </c>
      <c r="KN1">
        <v>298</v>
      </c>
      <c r="KO1">
        <v>299</v>
      </c>
      <c r="KP1">
        <v>300</v>
      </c>
      <c r="KQ1">
        <v>301</v>
      </c>
      <c r="KR1">
        <v>302</v>
      </c>
      <c r="KS1">
        <v>303</v>
      </c>
      <c r="KT1">
        <v>304</v>
      </c>
      <c r="KU1">
        <v>305</v>
      </c>
      <c r="KV1">
        <v>306</v>
      </c>
      <c r="KW1">
        <v>307</v>
      </c>
      <c r="KX1">
        <v>308</v>
      </c>
      <c r="KY1">
        <v>309</v>
      </c>
      <c r="KZ1">
        <v>310</v>
      </c>
      <c r="LA1">
        <v>311</v>
      </c>
      <c r="LB1">
        <v>312</v>
      </c>
      <c r="LC1">
        <v>313</v>
      </c>
      <c r="LD1">
        <v>314</v>
      </c>
      <c r="LE1">
        <v>315</v>
      </c>
      <c r="LF1">
        <v>316</v>
      </c>
      <c r="LG1">
        <v>317</v>
      </c>
      <c r="LH1">
        <v>318</v>
      </c>
      <c r="LI1">
        <v>319</v>
      </c>
      <c r="LJ1">
        <v>320</v>
      </c>
      <c r="LK1">
        <v>321</v>
      </c>
      <c r="LL1">
        <v>322</v>
      </c>
      <c r="LM1">
        <v>323</v>
      </c>
      <c r="LN1">
        <v>324</v>
      </c>
      <c r="LO1">
        <v>325</v>
      </c>
      <c r="LP1">
        <v>326</v>
      </c>
      <c r="LQ1">
        <v>327</v>
      </c>
      <c r="LR1">
        <v>328</v>
      </c>
      <c r="LS1">
        <v>329</v>
      </c>
      <c r="LT1">
        <v>330</v>
      </c>
      <c r="LU1">
        <v>331</v>
      </c>
      <c r="LV1">
        <v>332</v>
      </c>
      <c r="LW1">
        <v>333</v>
      </c>
      <c r="LX1">
        <v>334</v>
      </c>
      <c r="LY1">
        <v>335</v>
      </c>
      <c r="LZ1">
        <v>336</v>
      </c>
      <c r="MA1">
        <v>337</v>
      </c>
      <c r="MB1">
        <v>338</v>
      </c>
      <c r="MC1">
        <v>339</v>
      </c>
      <c r="MD1">
        <v>340</v>
      </c>
      <c r="ME1">
        <v>341</v>
      </c>
      <c r="MF1">
        <v>342</v>
      </c>
      <c r="MG1">
        <v>343</v>
      </c>
      <c r="MH1">
        <v>344</v>
      </c>
      <c r="MI1">
        <v>345</v>
      </c>
      <c r="MJ1">
        <v>346</v>
      </c>
      <c r="MK1">
        <v>347</v>
      </c>
      <c r="ML1">
        <v>348</v>
      </c>
      <c r="MM1">
        <v>349</v>
      </c>
      <c r="MN1">
        <v>350</v>
      </c>
      <c r="MO1">
        <v>351</v>
      </c>
      <c r="MP1">
        <v>352</v>
      </c>
      <c r="MQ1">
        <v>353</v>
      </c>
      <c r="MR1">
        <v>354</v>
      </c>
      <c r="MS1">
        <v>355</v>
      </c>
      <c r="MT1">
        <v>356</v>
      </c>
      <c r="MU1">
        <v>357</v>
      </c>
      <c r="MV1">
        <v>358</v>
      </c>
      <c r="MW1">
        <v>359</v>
      </c>
      <c r="MX1">
        <v>360</v>
      </c>
      <c r="MY1">
        <v>361</v>
      </c>
      <c r="MZ1">
        <v>362</v>
      </c>
      <c r="NA1">
        <v>363</v>
      </c>
      <c r="NB1">
        <v>364</v>
      </c>
      <c r="NC1">
        <v>365</v>
      </c>
      <c r="ND1">
        <v>366</v>
      </c>
      <c r="NE1">
        <v>367</v>
      </c>
      <c r="NF1">
        <v>368</v>
      </c>
      <c r="NG1">
        <v>369</v>
      </c>
      <c r="NH1">
        <v>370</v>
      </c>
      <c r="NI1">
        <v>371</v>
      </c>
      <c r="NJ1">
        <v>372</v>
      </c>
      <c r="NK1">
        <v>373</v>
      </c>
      <c r="NL1">
        <v>374</v>
      </c>
      <c r="NM1">
        <v>375</v>
      </c>
      <c r="NN1">
        <v>376</v>
      </c>
      <c r="NO1">
        <v>377</v>
      </c>
      <c r="NP1">
        <v>378</v>
      </c>
      <c r="NQ1">
        <v>379</v>
      </c>
      <c r="NR1">
        <v>380</v>
      </c>
      <c r="NS1">
        <v>381</v>
      </c>
      <c r="NT1">
        <v>382</v>
      </c>
      <c r="NU1">
        <v>383</v>
      </c>
      <c r="NV1">
        <v>384</v>
      </c>
      <c r="NW1">
        <v>385</v>
      </c>
      <c r="NX1">
        <v>386</v>
      </c>
      <c r="NY1">
        <v>387</v>
      </c>
      <c r="NZ1">
        <v>388</v>
      </c>
      <c r="OA1">
        <v>389</v>
      </c>
      <c r="OB1">
        <v>390</v>
      </c>
      <c r="OC1">
        <v>391</v>
      </c>
      <c r="OD1">
        <v>392</v>
      </c>
      <c r="OE1">
        <v>393</v>
      </c>
      <c r="OF1">
        <v>394</v>
      </c>
      <c r="OG1">
        <v>395</v>
      </c>
      <c r="OH1">
        <v>396</v>
      </c>
      <c r="OI1">
        <v>397</v>
      </c>
      <c r="OJ1">
        <v>398</v>
      </c>
      <c r="OK1">
        <v>399</v>
      </c>
      <c r="OL1">
        <v>400</v>
      </c>
      <c r="OM1">
        <v>401</v>
      </c>
      <c r="ON1">
        <v>402</v>
      </c>
      <c r="OO1">
        <v>403</v>
      </c>
      <c r="OP1">
        <v>404</v>
      </c>
      <c r="OQ1">
        <v>405</v>
      </c>
      <c r="OR1">
        <v>406</v>
      </c>
      <c r="OS1">
        <v>407</v>
      </c>
      <c r="OT1">
        <v>408</v>
      </c>
      <c r="OU1">
        <v>409</v>
      </c>
      <c r="OV1">
        <v>410</v>
      </c>
      <c r="OW1">
        <v>411</v>
      </c>
      <c r="OX1">
        <v>412</v>
      </c>
      <c r="OY1">
        <v>413</v>
      </c>
      <c r="OZ1">
        <v>414</v>
      </c>
      <c r="PA1">
        <v>415</v>
      </c>
      <c r="PB1">
        <v>416</v>
      </c>
      <c r="PC1">
        <v>417</v>
      </c>
      <c r="PD1">
        <v>418</v>
      </c>
      <c r="PE1">
        <v>419</v>
      </c>
      <c r="PF1">
        <v>420</v>
      </c>
      <c r="PG1">
        <v>421</v>
      </c>
      <c r="PH1">
        <v>422</v>
      </c>
      <c r="PI1">
        <v>423</v>
      </c>
      <c r="PJ1">
        <v>424</v>
      </c>
      <c r="PK1">
        <v>425</v>
      </c>
      <c r="PL1">
        <v>7</v>
      </c>
      <c r="PM1">
        <v>427</v>
      </c>
      <c r="PN1">
        <v>428</v>
      </c>
      <c r="PO1">
        <v>429</v>
      </c>
      <c r="PP1">
        <v>430</v>
      </c>
      <c r="PQ1">
        <v>431</v>
      </c>
      <c r="PR1">
        <v>432</v>
      </c>
      <c r="PS1">
        <v>433</v>
      </c>
      <c r="PT1">
        <v>434</v>
      </c>
      <c r="PU1">
        <v>435</v>
      </c>
      <c r="PV1">
        <v>436</v>
      </c>
      <c r="PW1">
        <v>437</v>
      </c>
      <c r="PX1">
        <v>438</v>
      </c>
      <c r="PY1">
        <v>439</v>
      </c>
      <c r="PZ1">
        <v>440</v>
      </c>
      <c r="QA1">
        <v>441</v>
      </c>
      <c r="QB1">
        <v>442</v>
      </c>
      <c r="QC1">
        <v>443</v>
      </c>
      <c r="QD1">
        <v>444</v>
      </c>
      <c r="QE1">
        <v>445</v>
      </c>
      <c r="QF1">
        <v>446</v>
      </c>
      <c r="QG1">
        <v>447</v>
      </c>
      <c r="QH1">
        <v>448</v>
      </c>
      <c r="QI1">
        <v>449</v>
      </c>
      <c r="QJ1">
        <v>450</v>
      </c>
      <c r="QK1">
        <v>451</v>
      </c>
      <c r="QL1">
        <v>452</v>
      </c>
      <c r="QM1">
        <v>453</v>
      </c>
      <c r="QN1">
        <v>454</v>
      </c>
      <c r="QO1">
        <v>455</v>
      </c>
      <c r="QP1">
        <v>456</v>
      </c>
      <c r="QQ1">
        <v>457</v>
      </c>
      <c r="QR1">
        <v>458</v>
      </c>
      <c r="QS1">
        <v>459</v>
      </c>
      <c r="QT1">
        <v>460</v>
      </c>
      <c r="QU1">
        <v>461</v>
      </c>
      <c r="QV1">
        <v>462</v>
      </c>
      <c r="QW1">
        <v>463</v>
      </c>
      <c r="QX1">
        <v>464</v>
      </c>
      <c r="QY1">
        <v>465</v>
      </c>
      <c r="QZ1">
        <v>466</v>
      </c>
      <c r="RA1">
        <v>467</v>
      </c>
      <c r="RB1">
        <v>468</v>
      </c>
      <c r="RC1">
        <v>469</v>
      </c>
      <c r="RD1">
        <v>470</v>
      </c>
      <c r="RE1">
        <v>471</v>
      </c>
      <c r="RF1">
        <v>472</v>
      </c>
      <c r="RG1">
        <v>473</v>
      </c>
      <c r="RH1">
        <v>474</v>
      </c>
      <c r="RI1">
        <v>475</v>
      </c>
      <c r="RJ1">
        <v>476</v>
      </c>
      <c r="RK1">
        <v>477</v>
      </c>
      <c r="RL1">
        <v>478</v>
      </c>
      <c r="RM1">
        <v>479</v>
      </c>
      <c r="RN1">
        <v>480</v>
      </c>
      <c r="RO1">
        <v>481</v>
      </c>
      <c r="RP1">
        <v>482</v>
      </c>
      <c r="RQ1">
        <v>483</v>
      </c>
      <c r="RR1">
        <v>484</v>
      </c>
      <c r="RS1">
        <v>485</v>
      </c>
      <c r="RT1">
        <v>486</v>
      </c>
      <c r="RU1">
        <v>487</v>
      </c>
      <c r="RV1">
        <v>488</v>
      </c>
      <c r="RW1">
        <v>489</v>
      </c>
      <c r="RX1">
        <v>490</v>
      </c>
      <c r="RY1">
        <v>491</v>
      </c>
      <c r="RZ1">
        <v>492</v>
      </c>
      <c r="SA1">
        <v>493</v>
      </c>
      <c r="SB1">
        <v>494</v>
      </c>
      <c r="SC1">
        <v>495</v>
      </c>
      <c r="SD1">
        <v>496</v>
      </c>
      <c r="SE1">
        <v>497</v>
      </c>
      <c r="SF1">
        <v>498</v>
      </c>
      <c r="SG1">
        <v>499</v>
      </c>
      <c r="SH1">
        <v>500</v>
      </c>
      <c r="SI1">
        <v>501</v>
      </c>
      <c r="SJ1">
        <v>502</v>
      </c>
      <c r="SK1">
        <v>503</v>
      </c>
      <c r="SL1">
        <v>504</v>
      </c>
      <c r="SM1">
        <v>505</v>
      </c>
      <c r="SN1">
        <v>506</v>
      </c>
      <c r="SO1">
        <v>507</v>
      </c>
      <c r="SP1">
        <v>508</v>
      </c>
      <c r="SQ1">
        <v>509</v>
      </c>
      <c r="SR1">
        <v>510</v>
      </c>
      <c r="SS1">
        <v>511</v>
      </c>
      <c r="ST1">
        <v>512</v>
      </c>
      <c r="SU1">
        <v>513</v>
      </c>
      <c r="SV1">
        <v>514</v>
      </c>
      <c r="SW1">
        <v>515</v>
      </c>
      <c r="SX1">
        <v>516</v>
      </c>
      <c r="SY1">
        <v>517</v>
      </c>
      <c r="SZ1">
        <v>518</v>
      </c>
      <c r="TA1">
        <v>519</v>
      </c>
      <c r="TB1">
        <v>520</v>
      </c>
      <c r="TC1">
        <v>521</v>
      </c>
      <c r="TD1">
        <v>522</v>
      </c>
      <c r="TE1">
        <v>523</v>
      </c>
      <c r="TF1">
        <v>524</v>
      </c>
      <c r="TG1">
        <v>525</v>
      </c>
      <c r="TH1">
        <v>526</v>
      </c>
      <c r="TI1">
        <v>527</v>
      </c>
      <c r="TJ1">
        <v>528</v>
      </c>
      <c r="TK1">
        <v>529</v>
      </c>
      <c r="TL1">
        <v>530</v>
      </c>
      <c r="TM1">
        <v>531</v>
      </c>
      <c r="TN1">
        <v>532</v>
      </c>
      <c r="TO1">
        <v>533</v>
      </c>
      <c r="TP1">
        <v>534</v>
      </c>
      <c r="TQ1">
        <v>535</v>
      </c>
      <c r="TR1">
        <v>536</v>
      </c>
      <c r="TS1">
        <v>537</v>
      </c>
      <c r="TT1">
        <v>538</v>
      </c>
      <c r="TU1">
        <v>539</v>
      </c>
      <c r="TV1">
        <v>540</v>
      </c>
      <c r="TW1">
        <v>541</v>
      </c>
      <c r="TX1">
        <v>542</v>
      </c>
      <c r="TY1">
        <v>543</v>
      </c>
      <c r="TZ1">
        <v>544</v>
      </c>
      <c r="UA1">
        <v>545</v>
      </c>
      <c r="UB1">
        <v>546</v>
      </c>
      <c r="UC1">
        <v>547</v>
      </c>
      <c r="UD1">
        <v>548</v>
      </c>
      <c r="UE1">
        <v>549</v>
      </c>
      <c r="UF1">
        <v>550</v>
      </c>
      <c r="UG1">
        <v>551</v>
      </c>
      <c r="UH1">
        <v>552</v>
      </c>
      <c r="UI1">
        <v>553</v>
      </c>
      <c r="UJ1">
        <v>554</v>
      </c>
      <c r="UK1">
        <v>555</v>
      </c>
      <c r="UL1">
        <v>556</v>
      </c>
      <c r="UM1">
        <v>557</v>
      </c>
      <c r="UN1">
        <v>558</v>
      </c>
      <c r="UO1">
        <v>559</v>
      </c>
      <c r="UP1">
        <v>560</v>
      </c>
      <c r="UQ1">
        <v>561</v>
      </c>
      <c r="UR1">
        <v>562</v>
      </c>
      <c r="US1">
        <v>563</v>
      </c>
      <c r="UT1">
        <v>564</v>
      </c>
      <c r="UU1">
        <v>565</v>
      </c>
      <c r="UV1">
        <v>566</v>
      </c>
      <c r="UW1">
        <v>567</v>
      </c>
      <c r="UX1">
        <v>568</v>
      </c>
      <c r="UY1">
        <v>569</v>
      </c>
      <c r="UZ1">
        <v>570</v>
      </c>
      <c r="VA1">
        <v>571</v>
      </c>
      <c r="VB1">
        <v>572</v>
      </c>
      <c r="VC1">
        <v>573</v>
      </c>
      <c r="VD1">
        <v>574</v>
      </c>
      <c r="VE1">
        <v>575</v>
      </c>
      <c r="VF1">
        <v>576</v>
      </c>
      <c r="VG1">
        <v>577</v>
      </c>
      <c r="VH1">
        <v>578</v>
      </c>
      <c r="VI1">
        <v>579</v>
      </c>
      <c r="VJ1">
        <v>580</v>
      </c>
      <c r="VK1">
        <v>581</v>
      </c>
      <c r="VL1">
        <v>582</v>
      </c>
      <c r="VM1">
        <v>583</v>
      </c>
      <c r="VN1">
        <v>584</v>
      </c>
      <c r="VO1">
        <v>585</v>
      </c>
      <c r="VP1">
        <v>586</v>
      </c>
      <c r="VQ1">
        <v>587</v>
      </c>
      <c r="VR1">
        <v>588</v>
      </c>
      <c r="VS1">
        <v>589</v>
      </c>
      <c r="VT1">
        <v>590</v>
      </c>
      <c r="VU1">
        <v>591</v>
      </c>
      <c r="VV1">
        <v>592</v>
      </c>
      <c r="VW1">
        <v>593</v>
      </c>
      <c r="VX1">
        <v>594</v>
      </c>
      <c r="VY1">
        <v>595</v>
      </c>
      <c r="VZ1">
        <v>596</v>
      </c>
      <c r="WA1">
        <v>597</v>
      </c>
      <c r="WB1">
        <v>598</v>
      </c>
      <c r="WC1">
        <v>599</v>
      </c>
      <c r="WD1">
        <v>600</v>
      </c>
      <c r="WE1">
        <v>601</v>
      </c>
      <c r="WF1">
        <v>602</v>
      </c>
      <c r="WG1">
        <v>603</v>
      </c>
      <c r="WH1">
        <v>604</v>
      </c>
      <c r="WI1">
        <v>605</v>
      </c>
      <c r="WJ1">
        <v>606</v>
      </c>
      <c r="WK1">
        <v>607</v>
      </c>
      <c r="WL1">
        <v>608</v>
      </c>
      <c r="WM1">
        <v>609</v>
      </c>
      <c r="WN1">
        <v>610</v>
      </c>
      <c r="WO1">
        <v>611</v>
      </c>
      <c r="WP1">
        <v>612</v>
      </c>
      <c r="WQ1">
        <v>613</v>
      </c>
      <c r="WR1">
        <v>614</v>
      </c>
      <c r="WS1">
        <v>615</v>
      </c>
      <c r="WT1">
        <v>616</v>
      </c>
      <c r="WU1">
        <v>617</v>
      </c>
      <c r="WV1">
        <v>618</v>
      </c>
      <c r="WW1">
        <v>619</v>
      </c>
      <c r="WX1">
        <v>620</v>
      </c>
      <c r="WY1">
        <v>621</v>
      </c>
      <c r="WZ1">
        <v>622</v>
      </c>
      <c r="XA1">
        <v>623</v>
      </c>
      <c r="XB1">
        <v>624</v>
      </c>
      <c r="XC1">
        <v>625</v>
      </c>
      <c r="XD1">
        <v>626</v>
      </c>
      <c r="XE1">
        <v>627</v>
      </c>
      <c r="XF1">
        <v>628</v>
      </c>
      <c r="XG1">
        <v>629</v>
      </c>
      <c r="XH1">
        <v>630</v>
      </c>
      <c r="XI1">
        <v>631</v>
      </c>
      <c r="XJ1">
        <v>632</v>
      </c>
      <c r="XK1">
        <v>633</v>
      </c>
      <c r="XL1">
        <v>634</v>
      </c>
      <c r="XM1">
        <v>635</v>
      </c>
      <c r="XN1">
        <v>636</v>
      </c>
      <c r="XO1">
        <v>637</v>
      </c>
      <c r="XP1">
        <v>638</v>
      </c>
      <c r="XQ1">
        <v>639</v>
      </c>
      <c r="XR1">
        <v>640</v>
      </c>
      <c r="XS1">
        <v>641</v>
      </c>
      <c r="XT1">
        <v>642</v>
      </c>
      <c r="XU1">
        <v>643</v>
      </c>
      <c r="XV1">
        <v>644</v>
      </c>
      <c r="XW1">
        <v>645</v>
      </c>
      <c r="XX1">
        <v>646</v>
      </c>
      <c r="XY1">
        <v>647</v>
      </c>
      <c r="XZ1">
        <v>648</v>
      </c>
      <c r="YA1">
        <v>649</v>
      </c>
      <c r="YB1">
        <v>650</v>
      </c>
      <c r="YC1">
        <v>651</v>
      </c>
      <c r="YD1">
        <v>652</v>
      </c>
      <c r="YE1">
        <v>653</v>
      </c>
      <c r="YF1">
        <v>654</v>
      </c>
      <c r="YG1">
        <v>655</v>
      </c>
      <c r="YH1">
        <v>656</v>
      </c>
      <c r="YI1">
        <v>657</v>
      </c>
      <c r="YJ1">
        <v>658</v>
      </c>
      <c r="YK1">
        <v>659</v>
      </c>
      <c r="YL1">
        <v>660</v>
      </c>
      <c r="YM1">
        <v>661</v>
      </c>
      <c r="YN1">
        <v>662</v>
      </c>
      <c r="YO1">
        <v>663</v>
      </c>
      <c r="YP1">
        <v>664</v>
      </c>
      <c r="YQ1">
        <v>665</v>
      </c>
      <c r="YR1">
        <v>666</v>
      </c>
      <c r="YS1">
        <v>667</v>
      </c>
      <c r="YT1">
        <v>668</v>
      </c>
      <c r="YU1">
        <v>669</v>
      </c>
      <c r="YV1">
        <v>670</v>
      </c>
      <c r="YW1">
        <v>671</v>
      </c>
      <c r="YX1">
        <v>672</v>
      </c>
      <c r="YY1">
        <v>673</v>
      </c>
      <c r="YZ1">
        <v>674</v>
      </c>
      <c r="ZA1">
        <v>675</v>
      </c>
      <c r="ZB1">
        <v>676</v>
      </c>
    </row>
    <row r="2" spans="2:678" x14ac:dyDescent="0.2">
      <c r="B2" t="s">
        <v>1467</v>
      </c>
      <c r="C2">
        <v>1.5</v>
      </c>
      <c r="WG2">
        <v>7</v>
      </c>
    </row>
    <row r="3" spans="2:678" x14ac:dyDescent="0.2">
      <c r="C3" t="s">
        <v>1467</v>
      </c>
      <c r="D3">
        <v>1.5</v>
      </c>
    </row>
    <row r="4" spans="2:678" x14ac:dyDescent="0.2">
      <c r="D4" t="s">
        <v>1467</v>
      </c>
      <c r="E4">
        <v>1.5</v>
      </c>
    </row>
    <row r="5" spans="2:678" x14ac:dyDescent="0.2">
      <c r="E5" t="s">
        <v>1467</v>
      </c>
      <c r="F5">
        <v>1.5</v>
      </c>
    </row>
    <row r="6" spans="2:678" x14ac:dyDescent="0.2">
      <c r="F6" t="s">
        <v>1467</v>
      </c>
      <c r="G6">
        <v>1.5</v>
      </c>
    </row>
    <row r="7" spans="2:678" x14ac:dyDescent="0.2">
      <c r="G7" t="s">
        <v>1467</v>
      </c>
      <c r="H7">
        <v>1.5</v>
      </c>
    </row>
    <row r="8" spans="2:678" x14ac:dyDescent="0.2">
      <c r="H8" t="s">
        <v>1467</v>
      </c>
      <c r="I8">
        <v>1.5</v>
      </c>
      <c r="AC8">
        <v>4</v>
      </c>
      <c r="DZ8">
        <v>4</v>
      </c>
      <c r="WH8">
        <v>7</v>
      </c>
    </row>
    <row r="9" spans="2:678" x14ac:dyDescent="0.2">
      <c r="I9" t="s">
        <v>1467</v>
      </c>
      <c r="J9">
        <v>1.5</v>
      </c>
    </row>
    <row r="10" spans="2:678" x14ac:dyDescent="0.2">
      <c r="J10" t="s">
        <v>1467</v>
      </c>
      <c r="K10">
        <v>1.5</v>
      </c>
      <c r="IV10">
        <v>4</v>
      </c>
    </row>
    <row r="11" spans="2:678" x14ac:dyDescent="0.2">
      <c r="K11" t="s">
        <v>1467</v>
      </c>
      <c r="L11">
        <v>1.5</v>
      </c>
      <c r="MY11">
        <v>4</v>
      </c>
    </row>
    <row r="12" spans="2:678" x14ac:dyDescent="0.2">
      <c r="L12" t="s">
        <v>1467</v>
      </c>
      <c r="M12">
        <v>1.5</v>
      </c>
      <c r="HE12">
        <v>4</v>
      </c>
      <c r="LP12">
        <v>4</v>
      </c>
    </row>
    <row r="13" spans="2:678" x14ac:dyDescent="0.2">
      <c r="M13" t="s">
        <v>1467</v>
      </c>
      <c r="N13">
        <v>1.5</v>
      </c>
    </row>
    <row r="14" spans="2:678" x14ac:dyDescent="0.2">
      <c r="N14" t="s">
        <v>1467</v>
      </c>
      <c r="O14">
        <v>1.5</v>
      </c>
      <c r="FS14">
        <v>4</v>
      </c>
    </row>
    <row r="15" spans="2:678" x14ac:dyDescent="0.2">
      <c r="O15" t="s">
        <v>1467</v>
      </c>
      <c r="P15">
        <v>1.5</v>
      </c>
    </row>
    <row r="16" spans="2:678" x14ac:dyDescent="0.2">
      <c r="P16" t="s">
        <v>1467</v>
      </c>
      <c r="Q16">
        <v>1.5</v>
      </c>
      <c r="CO16">
        <v>4</v>
      </c>
      <c r="FU16">
        <v>4</v>
      </c>
      <c r="KP16">
        <v>4</v>
      </c>
      <c r="NO16">
        <v>4</v>
      </c>
      <c r="WJ16">
        <v>7</v>
      </c>
      <c r="XX16">
        <v>7</v>
      </c>
    </row>
    <row r="17" spans="17:610" x14ac:dyDescent="0.2">
      <c r="Q17" t="s">
        <v>1467</v>
      </c>
      <c r="R17">
        <v>1.5</v>
      </c>
      <c r="KQ17">
        <v>4</v>
      </c>
    </row>
    <row r="18" spans="17:610" x14ac:dyDescent="0.2">
      <c r="R18" t="s">
        <v>1467</v>
      </c>
      <c r="S18">
        <v>1.5</v>
      </c>
    </row>
    <row r="19" spans="17:610" x14ac:dyDescent="0.2">
      <c r="S19" t="s">
        <v>1467</v>
      </c>
      <c r="T19">
        <v>1.5</v>
      </c>
      <c r="DT19">
        <v>4</v>
      </c>
      <c r="HP19">
        <v>4</v>
      </c>
    </row>
    <row r="20" spans="17:610" x14ac:dyDescent="0.2">
      <c r="T20" t="s">
        <v>1467</v>
      </c>
      <c r="U20">
        <v>1.5</v>
      </c>
      <c r="NP20">
        <v>4</v>
      </c>
      <c r="WK20">
        <v>7</v>
      </c>
    </row>
    <row r="21" spans="17:610" x14ac:dyDescent="0.2">
      <c r="U21" t="s">
        <v>1467</v>
      </c>
      <c r="V21">
        <v>1.5</v>
      </c>
      <c r="HS21">
        <v>4</v>
      </c>
    </row>
    <row r="22" spans="17:610" x14ac:dyDescent="0.2">
      <c r="V22" t="s">
        <v>1467</v>
      </c>
      <c r="W22">
        <v>1.5</v>
      </c>
      <c r="AY22">
        <v>4</v>
      </c>
      <c r="FA22">
        <v>4</v>
      </c>
      <c r="JL22">
        <v>4</v>
      </c>
      <c r="WL22">
        <v>7</v>
      </c>
    </row>
    <row r="23" spans="17:610" x14ac:dyDescent="0.2">
      <c r="W23" t="s">
        <v>1467</v>
      </c>
      <c r="X23">
        <v>1.5</v>
      </c>
      <c r="RA23">
        <v>7</v>
      </c>
      <c r="RB23">
        <v>7</v>
      </c>
    </row>
    <row r="24" spans="17:610" x14ac:dyDescent="0.2">
      <c r="X24" t="s">
        <v>1467</v>
      </c>
      <c r="Y24">
        <v>1.5</v>
      </c>
    </row>
    <row r="25" spans="17:610" x14ac:dyDescent="0.2">
      <c r="Y25" t="s">
        <v>1467</v>
      </c>
      <c r="Z25">
        <v>1.5</v>
      </c>
    </row>
    <row r="26" spans="17:610" x14ac:dyDescent="0.2">
      <c r="Z26" t="s">
        <v>1467</v>
      </c>
    </row>
    <row r="27" spans="17:610" x14ac:dyDescent="0.2">
      <c r="AA27" t="s">
        <v>1467</v>
      </c>
      <c r="AB27">
        <v>1.38</v>
      </c>
    </row>
    <row r="28" spans="17:610" x14ac:dyDescent="0.2">
      <c r="AB28" t="s">
        <v>1467</v>
      </c>
      <c r="AC28">
        <v>1.38</v>
      </c>
    </row>
    <row r="29" spans="17:610" x14ac:dyDescent="0.2">
      <c r="AC29" t="s">
        <v>1467</v>
      </c>
      <c r="AD29">
        <v>1.38</v>
      </c>
      <c r="DZ29">
        <v>4</v>
      </c>
      <c r="WH29">
        <v>7</v>
      </c>
    </row>
    <row r="30" spans="17:610" x14ac:dyDescent="0.2">
      <c r="AD30" t="s">
        <v>1467</v>
      </c>
      <c r="AE30">
        <v>1.38</v>
      </c>
    </row>
    <row r="31" spans="17:610" x14ac:dyDescent="0.2">
      <c r="AE31" t="s">
        <v>1467</v>
      </c>
      <c r="AF31">
        <v>1.38</v>
      </c>
    </row>
    <row r="32" spans="17:610" x14ac:dyDescent="0.2">
      <c r="AF32" t="s">
        <v>1467</v>
      </c>
      <c r="AG32">
        <v>1.38</v>
      </c>
    </row>
    <row r="33" spans="33:647" x14ac:dyDescent="0.2">
      <c r="AG33" t="s">
        <v>1467</v>
      </c>
      <c r="AH33">
        <v>1.38</v>
      </c>
      <c r="BG33">
        <v>4</v>
      </c>
    </row>
    <row r="34" spans="33:647" x14ac:dyDescent="0.2">
      <c r="AH34" t="s">
        <v>1467</v>
      </c>
      <c r="AI34">
        <v>1.38</v>
      </c>
    </row>
    <row r="35" spans="33:647" x14ac:dyDescent="0.2">
      <c r="AI35" t="s">
        <v>1467</v>
      </c>
      <c r="AJ35">
        <v>1.38</v>
      </c>
      <c r="MU35">
        <v>4</v>
      </c>
    </row>
    <row r="36" spans="33:647" x14ac:dyDescent="0.2">
      <c r="AJ36" t="s">
        <v>1467</v>
      </c>
      <c r="AK36">
        <v>1.38</v>
      </c>
    </row>
    <row r="37" spans="33:647" x14ac:dyDescent="0.2">
      <c r="AK37" t="s">
        <v>1467</v>
      </c>
      <c r="AL37">
        <v>1.38</v>
      </c>
      <c r="LJ37">
        <v>4</v>
      </c>
    </row>
    <row r="38" spans="33:647" x14ac:dyDescent="0.2">
      <c r="AL38" t="s">
        <v>1467</v>
      </c>
      <c r="AM38">
        <v>1.38</v>
      </c>
    </row>
    <row r="39" spans="33:647" x14ac:dyDescent="0.2">
      <c r="AM39" t="s">
        <v>1467</v>
      </c>
      <c r="AN39">
        <v>1.38</v>
      </c>
      <c r="CG39">
        <v>4</v>
      </c>
    </row>
    <row r="40" spans="33:647" x14ac:dyDescent="0.2">
      <c r="AN40" t="s">
        <v>1467</v>
      </c>
      <c r="AO40">
        <v>1.38</v>
      </c>
      <c r="CH40">
        <v>4</v>
      </c>
      <c r="DM40">
        <v>4</v>
      </c>
      <c r="XW40">
        <v>7</v>
      </c>
    </row>
    <row r="41" spans="33:647" x14ac:dyDescent="0.2">
      <c r="AO41" t="s">
        <v>1467</v>
      </c>
      <c r="AP41">
        <v>1.38</v>
      </c>
      <c r="DL41">
        <v>4</v>
      </c>
      <c r="FI41">
        <v>4</v>
      </c>
      <c r="XW41">
        <v>7</v>
      </c>
    </row>
    <row r="42" spans="33:647" x14ac:dyDescent="0.2">
      <c r="AP42" t="s">
        <v>1467</v>
      </c>
      <c r="AQ42">
        <v>1.38</v>
      </c>
      <c r="DK42">
        <v>4</v>
      </c>
      <c r="GO42">
        <v>4</v>
      </c>
    </row>
    <row r="43" spans="33:647" x14ac:dyDescent="0.2">
      <c r="AQ43" t="s">
        <v>1467</v>
      </c>
      <c r="AR43">
        <v>1.38</v>
      </c>
    </row>
    <row r="44" spans="33:647" x14ac:dyDescent="0.2">
      <c r="AR44" t="s">
        <v>1467</v>
      </c>
      <c r="AS44">
        <v>1.38</v>
      </c>
      <c r="KV44">
        <v>4</v>
      </c>
    </row>
    <row r="45" spans="33:647" x14ac:dyDescent="0.2">
      <c r="AS45" t="s">
        <v>1467</v>
      </c>
      <c r="AT45">
        <v>1.38</v>
      </c>
    </row>
    <row r="46" spans="33:647" x14ac:dyDescent="0.2">
      <c r="AT46" t="s">
        <v>1467</v>
      </c>
      <c r="AU46">
        <v>1.38</v>
      </c>
    </row>
    <row r="47" spans="33:647" x14ac:dyDescent="0.2">
      <c r="AU47" t="s">
        <v>1467</v>
      </c>
      <c r="AV47">
        <v>1.38</v>
      </c>
      <c r="BU47">
        <v>4</v>
      </c>
    </row>
    <row r="48" spans="33:647" x14ac:dyDescent="0.2">
      <c r="AV48" t="s">
        <v>1467</v>
      </c>
      <c r="AW48">
        <v>1.38</v>
      </c>
    </row>
    <row r="49" spans="49:610" x14ac:dyDescent="0.2">
      <c r="AW49" t="s">
        <v>1467</v>
      </c>
      <c r="AX49">
        <v>1.38</v>
      </c>
    </row>
    <row r="50" spans="49:610" x14ac:dyDescent="0.2">
      <c r="AX50" t="s">
        <v>1467</v>
      </c>
      <c r="AY50">
        <v>1.38</v>
      </c>
    </row>
    <row r="51" spans="49:610" x14ac:dyDescent="0.2">
      <c r="AY51" t="s">
        <v>1467</v>
      </c>
      <c r="FA51">
        <v>4</v>
      </c>
      <c r="JL51">
        <v>4</v>
      </c>
      <c r="WL51">
        <v>7</v>
      </c>
    </row>
    <row r="52" spans="49:610" x14ac:dyDescent="0.2">
      <c r="AZ52" t="s">
        <v>1467</v>
      </c>
      <c r="BA52">
        <v>1.29</v>
      </c>
    </row>
    <row r="53" spans="49:610" x14ac:dyDescent="0.2">
      <c r="BA53" t="s">
        <v>1467</v>
      </c>
      <c r="BB53">
        <v>1.29</v>
      </c>
    </row>
    <row r="54" spans="49:610" x14ac:dyDescent="0.2">
      <c r="BB54" t="s">
        <v>1467</v>
      </c>
      <c r="BC54">
        <v>1.29</v>
      </c>
    </row>
    <row r="55" spans="49:610" x14ac:dyDescent="0.2">
      <c r="BC55" t="s">
        <v>1467</v>
      </c>
      <c r="BD55">
        <v>1.29</v>
      </c>
    </row>
    <row r="56" spans="49:610" x14ac:dyDescent="0.2">
      <c r="BD56" t="s">
        <v>1467</v>
      </c>
      <c r="BE56">
        <v>1.29</v>
      </c>
    </row>
    <row r="57" spans="49:610" x14ac:dyDescent="0.2">
      <c r="BE57" t="s">
        <v>1467</v>
      </c>
      <c r="BF57">
        <v>1.29</v>
      </c>
    </row>
    <row r="58" spans="49:610" x14ac:dyDescent="0.2">
      <c r="BF58" t="s">
        <v>1467</v>
      </c>
      <c r="BG58">
        <v>1.29</v>
      </c>
    </row>
    <row r="59" spans="49:610" x14ac:dyDescent="0.2">
      <c r="BG59" t="s">
        <v>1467</v>
      </c>
      <c r="BH59">
        <v>1.29</v>
      </c>
    </row>
    <row r="60" spans="49:610" x14ac:dyDescent="0.2">
      <c r="BH60" t="s">
        <v>1467</v>
      </c>
      <c r="BI60">
        <v>1.29</v>
      </c>
    </row>
    <row r="61" spans="49:610" x14ac:dyDescent="0.2">
      <c r="BI61" t="s">
        <v>1467</v>
      </c>
      <c r="BJ61">
        <v>1.29</v>
      </c>
      <c r="IZ61">
        <v>4</v>
      </c>
      <c r="LN61">
        <v>4</v>
      </c>
      <c r="MW61">
        <v>4</v>
      </c>
      <c r="NL61">
        <v>4</v>
      </c>
    </row>
    <row r="62" spans="49:610" x14ac:dyDescent="0.2">
      <c r="BJ62" t="s">
        <v>1467</v>
      </c>
      <c r="BK62">
        <v>1.29</v>
      </c>
      <c r="IY62">
        <v>4</v>
      </c>
    </row>
    <row r="63" spans="49:610" x14ac:dyDescent="0.2">
      <c r="BK63" t="s">
        <v>1467</v>
      </c>
      <c r="BL63">
        <v>1.29</v>
      </c>
      <c r="FQ63">
        <v>4</v>
      </c>
      <c r="HG63">
        <v>4</v>
      </c>
    </row>
    <row r="64" spans="49:610" x14ac:dyDescent="0.2">
      <c r="BL64" t="s">
        <v>1467</v>
      </c>
      <c r="BM64">
        <v>1.29</v>
      </c>
    </row>
    <row r="65" spans="65:476" x14ac:dyDescent="0.2">
      <c r="BM65" t="s">
        <v>1467</v>
      </c>
      <c r="BN65">
        <v>1.29</v>
      </c>
    </row>
    <row r="66" spans="65:476" x14ac:dyDescent="0.2">
      <c r="BN66" t="s">
        <v>1467</v>
      </c>
      <c r="BO66">
        <v>1.29</v>
      </c>
    </row>
    <row r="67" spans="65:476" x14ac:dyDescent="0.2">
      <c r="BO67" t="s">
        <v>1467</v>
      </c>
      <c r="BP67">
        <v>1.29</v>
      </c>
      <c r="CL67">
        <v>4</v>
      </c>
    </row>
    <row r="68" spans="65:476" x14ac:dyDescent="0.2">
      <c r="BP68" t="s">
        <v>1467</v>
      </c>
      <c r="BQ68">
        <v>1.29</v>
      </c>
      <c r="KS68">
        <v>4</v>
      </c>
    </row>
    <row r="69" spans="65:476" x14ac:dyDescent="0.2">
      <c r="BQ69" t="s">
        <v>1467</v>
      </c>
      <c r="BR69">
        <v>1.29</v>
      </c>
    </row>
    <row r="70" spans="65:476" x14ac:dyDescent="0.2">
      <c r="BR70" t="s">
        <v>1467</v>
      </c>
      <c r="BS70">
        <v>1.29</v>
      </c>
      <c r="DP70">
        <v>4</v>
      </c>
      <c r="HL70">
        <v>4</v>
      </c>
      <c r="JF70">
        <v>4</v>
      </c>
      <c r="KT70">
        <v>4</v>
      </c>
    </row>
    <row r="71" spans="65:476" x14ac:dyDescent="0.2">
      <c r="BS71" t="s">
        <v>1467</v>
      </c>
      <c r="BT71">
        <v>1.29</v>
      </c>
    </row>
    <row r="72" spans="65:476" x14ac:dyDescent="0.2">
      <c r="BT72" t="s">
        <v>1467</v>
      </c>
      <c r="BU72">
        <v>1.29</v>
      </c>
    </row>
    <row r="73" spans="65:476" x14ac:dyDescent="0.2">
      <c r="BU73" t="s">
        <v>1467</v>
      </c>
      <c r="BV73">
        <v>1.29</v>
      </c>
    </row>
    <row r="74" spans="65:476" x14ac:dyDescent="0.2">
      <c r="BV74" t="s">
        <v>1467</v>
      </c>
      <c r="BW74">
        <v>1.29</v>
      </c>
      <c r="CB74">
        <v>4</v>
      </c>
    </row>
    <row r="75" spans="65:476" x14ac:dyDescent="0.2">
      <c r="BW75" t="s">
        <v>1467</v>
      </c>
      <c r="BX75">
        <v>1.29</v>
      </c>
      <c r="RE75">
        <v>7</v>
      </c>
    </row>
    <row r="76" spans="65:476" x14ac:dyDescent="0.2">
      <c r="BX76" t="s">
        <v>1467</v>
      </c>
    </row>
    <row r="77" spans="65:476" x14ac:dyDescent="0.2">
      <c r="BY77" t="s">
        <v>1467</v>
      </c>
      <c r="BZ77">
        <v>1.33</v>
      </c>
      <c r="LA77">
        <v>4</v>
      </c>
      <c r="RH77">
        <v>7</v>
      </c>
    </row>
    <row r="78" spans="65:476" x14ac:dyDescent="0.2">
      <c r="BZ78" t="s">
        <v>1467</v>
      </c>
      <c r="CA78">
        <v>1.33</v>
      </c>
    </row>
    <row r="79" spans="65:476" x14ac:dyDescent="0.2">
      <c r="CA79" t="s">
        <v>1467</v>
      </c>
      <c r="CB79">
        <v>1.33</v>
      </c>
    </row>
    <row r="80" spans="65:476" x14ac:dyDescent="0.2">
      <c r="CB80" t="s">
        <v>1467</v>
      </c>
    </row>
    <row r="81" spans="81:648" x14ac:dyDescent="0.2">
      <c r="CC81" t="s">
        <v>1467</v>
      </c>
      <c r="CD81">
        <v>1.1200000000000001</v>
      </c>
      <c r="RU81">
        <v>7</v>
      </c>
    </row>
    <row r="82" spans="81:648" x14ac:dyDescent="0.2">
      <c r="CD82" t="s">
        <v>1467</v>
      </c>
      <c r="CE82">
        <v>1.1200000000000001</v>
      </c>
    </row>
    <row r="83" spans="81:648" x14ac:dyDescent="0.2">
      <c r="CE83" t="s">
        <v>1467</v>
      </c>
      <c r="CF83">
        <v>1.1200000000000001</v>
      </c>
      <c r="LF83">
        <v>4</v>
      </c>
    </row>
    <row r="84" spans="81:648" x14ac:dyDescent="0.2">
      <c r="CF84" t="s">
        <v>1467</v>
      </c>
      <c r="CG84">
        <v>1.1200000000000001</v>
      </c>
    </row>
    <row r="85" spans="81:648" x14ac:dyDescent="0.2">
      <c r="CG85" t="s">
        <v>1467</v>
      </c>
      <c r="CH85">
        <v>1.1200000000000001</v>
      </c>
    </row>
    <row r="86" spans="81:648" x14ac:dyDescent="0.2">
      <c r="CH86" t="s">
        <v>1467</v>
      </c>
      <c r="CI86">
        <v>1.1200000000000001</v>
      </c>
      <c r="DM86">
        <v>4</v>
      </c>
      <c r="XW86">
        <v>7</v>
      </c>
    </row>
    <row r="87" spans="81:648" x14ac:dyDescent="0.2">
      <c r="CI87" t="s">
        <v>1467</v>
      </c>
      <c r="CJ87">
        <v>1.1200000000000001</v>
      </c>
      <c r="DN87">
        <v>4</v>
      </c>
      <c r="FL87">
        <v>4</v>
      </c>
    </row>
    <row r="88" spans="81:648" x14ac:dyDescent="0.2">
      <c r="CJ88" t="s">
        <v>1467</v>
      </c>
      <c r="CK88">
        <v>1.1200000000000001</v>
      </c>
    </row>
    <row r="89" spans="81:648" x14ac:dyDescent="0.2">
      <c r="CK89" t="s">
        <v>1467</v>
      </c>
      <c r="CL89">
        <v>1.1200000000000001</v>
      </c>
      <c r="HK89">
        <v>4</v>
      </c>
      <c r="JE89">
        <v>4</v>
      </c>
    </row>
    <row r="90" spans="81:648" x14ac:dyDescent="0.2">
      <c r="CL90" t="s">
        <v>1467</v>
      </c>
      <c r="CM90">
        <v>1.1200000000000001</v>
      </c>
    </row>
    <row r="91" spans="81:648" x14ac:dyDescent="0.2">
      <c r="CM91" t="s">
        <v>1467</v>
      </c>
      <c r="CN91">
        <v>1.1200000000000001</v>
      </c>
    </row>
    <row r="92" spans="81:648" x14ac:dyDescent="0.2">
      <c r="CN92" t="s">
        <v>1467</v>
      </c>
      <c r="CO92">
        <v>1.1200000000000001</v>
      </c>
    </row>
    <row r="93" spans="81:648" x14ac:dyDescent="0.2">
      <c r="CO93" t="s">
        <v>1467</v>
      </c>
      <c r="CP93">
        <v>1.1200000000000001</v>
      </c>
      <c r="FU93">
        <v>4</v>
      </c>
      <c r="KP93">
        <v>4</v>
      </c>
      <c r="NO93">
        <v>4</v>
      </c>
      <c r="WJ93">
        <v>7</v>
      </c>
      <c r="XX93">
        <v>7</v>
      </c>
    </row>
    <row r="94" spans="81:648" x14ac:dyDescent="0.2">
      <c r="CP94" t="s">
        <v>1467</v>
      </c>
      <c r="CQ94">
        <v>1.1200000000000001</v>
      </c>
    </row>
    <row r="95" spans="81:648" x14ac:dyDescent="0.2">
      <c r="CQ95" t="s">
        <v>1467</v>
      </c>
      <c r="CR95">
        <v>1.1200000000000001</v>
      </c>
    </row>
    <row r="96" spans="81:648" x14ac:dyDescent="0.2">
      <c r="CR96" t="s">
        <v>1467</v>
      </c>
      <c r="CS96">
        <v>1.1200000000000001</v>
      </c>
      <c r="KJ96">
        <v>4</v>
      </c>
    </row>
    <row r="97" spans="97:652" x14ac:dyDescent="0.2">
      <c r="CS97" t="s">
        <v>1467</v>
      </c>
      <c r="CT97">
        <v>1.1200000000000001</v>
      </c>
    </row>
    <row r="98" spans="97:652" x14ac:dyDescent="0.2">
      <c r="CT98" t="s">
        <v>1467</v>
      </c>
      <c r="CU98">
        <v>1.1200000000000001</v>
      </c>
    </row>
    <row r="99" spans="97:652" x14ac:dyDescent="0.2">
      <c r="CU99" t="s">
        <v>1467</v>
      </c>
      <c r="CV99">
        <v>1.1200000000000001</v>
      </c>
    </row>
    <row r="100" spans="97:652" x14ac:dyDescent="0.2">
      <c r="CV100" t="s">
        <v>1467</v>
      </c>
      <c r="CW100">
        <v>1.1200000000000001</v>
      </c>
      <c r="EK100">
        <v>4</v>
      </c>
      <c r="LW100">
        <v>4</v>
      </c>
      <c r="ND100">
        <v>4</v>
      </c>
    </row>
    <row r="101" spans="97:652" x14ac:dyDescent="0.2">
      <c r="CW101" t="s">
        <v>1467</v>
      </c>
      <c r="CX101">
        <v>1.1200000000000001</v>
      </c>
    </row>
    <row r="102" spans="97:652" x14ac:dyDescent="0.2">
      <c r="CX102" t="s">
        <v>1467</v>
      </c>
      <c r="CY102">
        <v>1.1200000000000001</v>
      </c>
      <c r="EM102">
        <v>4</v>
      </c>
    </row>
    <row r="103" spans="97:652" x14ac:dyDescent="0.2">
      <c r="CY103" t="s">
        <v>1467</v>
      </c>
      <c r="CZ103">
        <v>1.1200000000000001</v>
      </c>
      <c r="EN103">
        <v>4</v>
      </c>
      <c r="YB103">
        <v>7</v>
      </c>
    </row>
    <row r="104" spans="97:652" x14ac:dyDescent="0.2">
      <c r="CZ104" t="s">
        <v>1467</v>
      </c>
      <c r="DA104">
        <v>1.1200000000000001</v>
      </c>
    </row>
    <row r="105" spans="97:652" x14ac:dyDescent="0.2">
      <c r="DA105" t="s">
        <v>1467</v>
      </c>
      <c r="DB105">
        <v>1.1200000000000001</v>
      </c>
    </row>
    <row r="106" spans="97:652" x14ac:dyDescent="0.2">
      <c r="DB106" t="s">
        <v>1467</v>
      </c>
      <c r="DC106">
        <v>1.1200000000000001</v>
      </c>
      <c r="QL106">
        <v>7</v>
      </c>
    </row>
    <row r="107" spans="97:652" x14ac:dyDescent="0.2">
      <c r="DC107" t="s">
        <v>1467</v>
      </c>
    </row>
    <row r="108" spans="97:652" x14ac:dyDescent="0.2">
      <c r="DD108" t="s">
        <v>1467</v>
      </c>
      <c r="DE108">
        <v>1.62</v>
      </c>
      <c r="OY108">
        <v>7</v>
      </c>
    </row>
    <row r="109" spans="97:652" x14ac:dyDescent="0.2">
      <c r="DE109" t="s">
        <v>1467</v>
      </c>
      <c r="DF109">
        <v>1.62</v>
      </c>
    </row>
    <row r="110" spans="97:652" x14ac:dyDescent="0.2">
      <c r="DF110" t="s">
        <v>1467</v>
      </c>
      <c r="DG110">
        <v>1.62</v>
      </c>
    </row>
    <row r="111" spans="97:652" x14ac:dyDescent="0.2">
      <c r="DG111" t="s">
        <v>1467</v>
      </c>
      <c r="DH111">
        <v>1.62</v>
      </c>
    </row>
    <row r="112" spans="97:652" x14ac:dyDescent="0.2">
      <c r="DH112" t="s">
        <v>1467</v>
      </c>
      <c r="DI112">
        <v>1.62</v>
      </c>
      <c r="RK112">
        <v>7</v>
      </c>
    </row>
    <row r="113" spans="113:647" x14ac:dyDescent="0.2">
      <c r="DI113" t="s">
        <v>1467</v>
      </c>
      <c r="DJ113">
        <v>1.62</v>
      </c>
    </row>
    <row r="114" spans="113:647" x14ac:dyDescent="0.2">
      <c r="DJ114" t="s">
        <v>1467</v>
      </c>
      <c r="DK114">
        <v>1.62</v>
      </c>
    </row>
    <row r="115" spans="113:647" x14ac:dyDescent="0.2">
      <c r="DK115" t="s">
        <v>1467</v>
      </c>
      <c r="DL115">
        <v>1.62</v>
      </c>
      <c r="GO115">
        <v>4</v>
      </c>
    </row>
    <row r="116" spans="113:647" x14ac:dyDescent="0.2">
      <c r="DL116" t="s">
        <v>1467</v>
      </c>
      <c r="DM116">
        <v>1.62</v>
      </c>
      <c r="FI116">
        <v>4</v>
      </c>
    </row>
    <row r="117" spans="113:647" x14ac:dyDescent="0.2">
      <c r="DM117" t="s">
        <v>1467</v>
      </c>
      <c r="DN117">
        <v>1.62</v>
      </c>
      <c r="XW117">
        <v>7</v>
      </c>
    </row>
    <row r="118" spans="113:647" x14ac:dyDescent="0.2">
      <c r="DN118" t="s">
        <v>1467</v>
      </c>
      <c r="DO118">
        <v>1.62</v>
      </c>
      <c r="FL118">
        <v>4</v>
      </c>
    </row>
    <row r="119" spans="113:647" x14ac:dyDescent="0.2">
      <c r="DO119" t="s">
        <v>1467</v>
      </c>
      <c r="DP119">
        <v>1.62</v>
      </c>
    </row>
    <row r="120" spans="113:647" x14ac:dyDescent="0.2">
      <c r="DP120" t="s">
        <v>1467</v>
      </c>
      <c r="DQ120">
        <v>1.62</v>
      </c>
      <c r="HL120">
        <v>4</v>
      </c>
      <c r="JF120">
        <v>4</v>
      </c>
      <c r="KT120">
        <v>4</v>
      </c>
    </row>
    <row r="121" spans="113:647" x14ac:dyDescent="0.2">
      <c r="DQ121" t="s">
        <v>1467</v>
      </c>
      <c r="DR121">
        <v>1.62</v>
      </c>
      <c r="JG121">
        <v>4</v>
      </c>
    </row>
    <row r="122" spans="113:647" x14ac:dyDescent="0.2">
      <c r="DR122" t="s">
        <v>1467</v>
      </c>
      <c r="DS122">
        <v>1.62</v>
      </c>
    </row>
    <row r="123" spans="113:647" x14ac:dyDescent="0.2">
      <c r="DS123" t="s">
        <v>1467</v>
      </c>
      <c r="DT123">
        <v>1.62</v>
      </c>
    </row>
    <row r="124" spans="113:647" x14ac:dyDescent="0.2">
      <c r="DT124" t="s">
        <v>1467</v>
      </c>
      <c r="DU124">
        <v>1.62</v>
      </c>
      <c r="HP124">
        <v>4</v>
      </c>
    </row>
    <row r="125" spans="113:647" x14ac:dyDescent="0.2">
      <c r="DU125" t="s">
        <v>1467</v>
      </c>
      <c r="DV125">
        <v>1.62</v>
      </c>
    </row>
    <row r="126" spans="113:647" x14ac:dyDescent="0.2">
      <c r="DV126" t="s">
        <v>1467</v>
      </c>
      <c r="DW126">
        <v>1.62</v>
      </c>
      <c r="KO126">
        <v>4</v>
      </c>
    </row>
    <row r="127" spans="113:647" x14ac:dyDescent="0.2">
      <c r="DW127" t="s">
        <v>1467</v>
      </c>
      <c r="DX127">
        <v>1.62</v>
      </c>
    </row>
    <row r="128" spans="113:647" x14ac:dyDescent="0.2">
      <c r="DX128" t="s">
        <v>1467</v>
      </c>
      <c r="DY128">
        <v>1.62</v>
      </c>
    </row>
    <row r="129" spans="129:652" x14ac:dyDescent="0.2">
      <c r="DY129" t="s">
        <v>1467</v>
      </c>
      <c r="ER129">
        <v>4</v>
      </c>
      <c r="GB129">
        <v>4</v>
      </c>
    </row>
    <row r="130" spans="129:652" x14ac:dyDescent="0.2">
      <c r="DZ130" t="s">
        <v>1467</v>
      </c>
      <c r="EA130">
        <v>1.1499999999999999</v>
      </c>
      <c r="WH130">
        <v>7</v>
      </c>
    </row>
    <row r="131" spans="129:652" x14ac:dyDescent="0.2">
      <c r="EA131" t="s">
        <v>1467</v>
      </c>
      <c r="EB131">
        <v>1.1499999999999999</v>
      </c>
    </row>
    <row r="132" spans="129:652" x14ac:dyDescent="0.2">
      <c r="EB132" t="s">
        <v>1467</v>
      </c>
      <c r="EC132">
        <v>1.1499999999999999</v>
      </c>
    </row>
    <row r="133" spans="129:652" x14ac:dyDescent="0.2">
      <c r="EC133" t="s">
        <v>1467</v>
      </c>
      <c r="ED133">
        <v>1.1499999999999999</v>
      </c>
      <c r="IS133">
        <v>4</v>
      </c>
    </row>
    <row r="134" spans="129:652" x14ac:dyDescent="0.2">
      <c r="ED134" t="s">
        <v>1467</v>
      </c>
      <c r="EE134">
        <v>1.1499999999999999</v>
      </c>
    </row>
    <row r="135" spans="129:652" x14ac:dyDescent="0.2">
      <c r="EE135" t="s">
        <v>1467</v>
      </c>
      <c r="EF135">
        <v>1.1499999999999999</v>
      </c>
    </row>
    <row r="136" spans="129:652" x14ac:dyDescent="0.2">
      <c r="EF136" t="s">
        <v>1467</v>
      </c>
      <c r="EG136">
        <v>1.1499999999999999</v>
      </c>
    </row>
    <row r="137" spans="129:652" x14ac:dyDescent="0.2">
      <c r="EG137" t="s">
        <v>1467</v>
      </c>
      <c r="EH137">
        <v>1.1499999999999999</v>
      </c>
      <c r="HA137">
        <v>4</v>
      </c>
      <c r="KD137">
        <v>4</v>
      </c>
    </row>
    <row r="138" spans="129:652" x14ac:dyDescent="0.2">
      <c r="EH138" t="s">
        <v>1467</v>
      </c>
      <c r="EI138">
        <v>1.1499999999999999</v>
      </c>
    </row>
    <row r="139" spans="129:652" x14ac:dyDescent="0.2">
      <c r="EI139" t="s">
        <v>1467</v>
      </c>
      <c r="EJ139">
        <v>1.1499999999999999</v>
      </c>
    </row>
    <row r="140" spans="129:652" x14ac:dyDescent="0.2">
      <c r="EJ140" t="s">
        <v>1467</v>
      </c>
      <c r="EK140">
        <v>1.1499999999999999</v>
      </c>
      <c r="LY140">
        <v>4</v>
      </c>
    </row>
    <row r="141" spans="129:652" x14ac:dyDescent="0.2">
      <c r="EK141" t="s">
        <v>1467</v>
      </c>
      <c r="EL141">
        <v>1.1499999999999999</v>
      </c>
      <c r="LW141">
        <v>4</v>
      </c>
      <c r="ND141">
        <v>4</v>
      </c>
    </row>
    <row r="142" spans="129:652" x14ac:dyDescent="0.2">
      <c r="EL142" t="s">
        <v>1467</v>
      </c>
      <c r="EM142">
        <v>1.1499999999999999</v>
      </c>
    </row>
    <row r="143" spans="129:652" x14ac:dyDescent="0.2">
      <c r="EM143" t="s">
        <v>1467</v>
      </c>
      <c r="EN143">
        <v>1.1499999999999999</v>
      </c>
    </row>
    <row r="144" spans="129:652" x14ac:dyDescent="0.2">
      <c r="EN144" t="s">
        <v>1467</v>
      </c>
      <c r="EO144">
        <v>1.1499999999999999</v>
      </c>
      <c r="YB144">
        <v>7</v>
      </c>
    </row>
    <row r="145" spans="145:610" x14ac:dyDescent="0.2">
      <c r="EO145" t="s">
        <v>1467</v>
      </c>
      <c r="EP145">
        <v>1.1499999999999999</v>
      </c>
    </row>
    <row r="146" spans="145:610" x14ac:dyDescent="0.2">
      <c r="EP146" t="s">
        <v>1467</v>
      </c>
      <c r="EQ146">
        <v>1.1499999999999999</v>
      </c>
    </row>
    <row r="147" spans="145:610" x14ac:dyDescent="0.2">
      <c r="EQ147" t="s">
        <v>1467</v>
      </c>
      <c r="ER147">
        <v>1.1499999999999999</v>
      </c>
    </row>
    <row r="148" spans="145:610" x14ac:dyDescent="0.2">
      <c r="ER148" t="s">
        <v>1467</v>
      </c>
      <c r="ES148">
        <v>1.1499999999999999</v>
      </c>
      <c r="GB148">
        <v>4</v>
      </c>
    </row>
    <row r="149" spans="145:610" x14ac:dyDescent="0.2">
      <c r="ES149" t="s">
        <v>1467</v>
      </c>
      <c r="ET149">
        <v>1.1499999999999999</v>
      </c>
    </row>
    <row r="150" spans="145:610" x14ac:dyDescent="0.2">
      <c r="ET150" t="s">
        <v>1467</v>
      </c>
      <c r="EU150">
        <v>1.1499999999999999</v>
      </c>
    </row>
    <row r="151" spans="145:610" x14ac:dyDescent="0.2">
      <c r="EU151" t="s">
        <v>1467</v>
      </c>
      <c r="EV151">
        <v>1.1499999999999999</v>
      </c>
    </row>
    <row r="152" spans="145:610" x14ac:dyDescent="0.2">
      <c r="EV152" t="s">
        <v>1467</v>
      </c>
      <c r="EW152">
        <v>1.1499999999999999</v>
      </c>
      <c r="NQ152">
        <v>4</v>
      </c>
    </row>
    <row r="153" spans="145:610" x14ac:dyDescent="0.2">
      <c r="EW153" t="s">
        <v>1467</v>
      </c>
      <c r="EX153">
        <v>1.1499999999999999</v>
      </c>
    </row>
    <row r="154" spans="145:610" x14ac:dyDescent="0.2">
      <c r="EX154" t="s">
        <v>1467</v>
      </c>
      <c r="EY154">
        <v>1.1499999999999999</v>
      </c>
      <c r="HU154">
        <v>4</v>
      </c>
    </row>
    <row r="155" spans="145:610" x14ac:dyDescent="0.2">
      <c r="EY155" t="s">
        <v>1467</v>
      </c>
      <c r="EZ155">
        <v>1.1499999999999999</v>
      </c>
    </row>
    <row r="156" spans="145:610" x14ac:dyDescent="0.2">
      <c r="EZ156" t="s">
        <v>1467</v>
      </c>
      <c r="FA156">
        <v>1.1499999999999999</v>
      </c>
    </row>
    <row r="157" spans="145:610" x14ac:dyDescent="0.2">
      <c r="FA157" t="s">
        <v>1467</v>
      </c>
      <c r="JL157">
        <v>4</v>
      </c>
      <c r="WL157">
        <v>7</v>
      </c>
    </row>
    <row r="158" spans="145:610" x14ac:dyDescent="0.2">
      <c r="FB158" t="s">
        <v>1467</v>
      </c>
      <c r="FC158">
        <v>1.49</v>
      </c>
      <c r="OP158">
        <v>7</v>
      </c>
    </row>
    <row r="159" spans="145:610" x14ac:dyDescent="0.2">
      <c r="FC159" t="s">
        <v>1467</v>
      </c>
      <c r="FD159">
        <v>1.49</v>
      </c>
    </row>
    <row r="160" spans="145:610" x14ac:dyDescent="0.2">
      <c r="FD160" t="s">
        <v>1467</v>
      </c>
      <c r="FE160">
        <v>1.49</v>
      </c>
    </row>
    <row r="161" spans="161:482" x14ac:dyDescent="0.2">
      <c r="FE161" t="s">
        <v>1467</v>
      </c>
      <c r="FF161">
        <v>1.49</v>
      </c>
      <c r="RN161">
        <v>7</v>
      </c>
    </row>
    <row r="162" spans="161:482" x14ac:dyDescent="0.2">
      <c r="FF162" t="s">
        <v>1467</v>
      </c>
      <c r="FG162">
        <v>1.49</v>
      </c>
    </row>
    <row r="163" spans="161:482" x14ac:dyDescent="0.2">
      <c r="FG163" t="s">
        <v>1467</v>
      </c>
      <c r="FH163">
        <v>1.49</v>
      </c>
    </row>
    <row r="164" spans="161:482" x14ac:dyDescent="0.2">
      <c r="FH164" t="s">
        <v>1467</v>
      </c>
      <c r="FI164">
        <v>1.49</v>
      </c>
    </row>
    <row r="165" spans="161:482" x14ac:dyDescent="0.2">
      <c r="FI165" t="s">
        <v>1467</v>
      </c>
      <c r="FJ165">
        <v>1.49</v>
      </c>
    </row>
    <row r="166" spans="161:482" x14ac:dyDescent="0.2">
      <c r="FJ166" t="s">
        <v>1467</v>
      </c>
      <c r="FK166">
        <v>1.49</v>
      </c>
      <c r="GN166">
        <v>4</v>
      </c>
    </row>
    <row r="167" spans="161:482" x14ac:dyDescent="0.2">
      <c r="FK167" t="s">
        <v>1467</v>
      </c>
      <c r="FL167">
        <v>1.49</v>
      </c>
    </row>
    <row r="168" spans="161:482" x14ac:dyDescent="0.2">
      <c r="FL168" t="s">
        <v>1467</v>
      </c>
      <c r="FM168">
        <v>1.49</v>
      </c>
    </row>
    <row r="169" spans="161:482" x14ac:dyDescent="0.2">
      <c r="FM169" t="s">
        <v>1467</v>
      </c>
      <c r="FN169">
        <v>1.49</v>
      </c>
    </row>
    <row r="170" spans="161:482" x14ac:dyDescent="0.2">
      <c r="FN170" t="s">
        <v>1467</v>
      </c>
      <c r="FO170">
        <v>1.49</v>
      </c>
    </row>
    <row r="171" spans="161:482" x14ac:dyDescent="0.2">
      <c r="FO171" t="s">
        <v>1467</v>
      </c>
      <c r="FP171">
        <v>1.49</v>
      </c>
    </row>
    <row r="172" spans="161:482" x14ac:dyDescent="0.2">
      <c r="FP172" t="s">
        <v>1467</v>
      </c>
      <c r="FQ172">
        <v>1.49</v>
      </c>
      <c r="JA172">
        <v>4</v>
      </c>
    </row>
    <row r="173" spans="161:482" x14ac:dyDescent="0.2">
      <c r="FQ173" t="s">
        <v>1467</v>
      </c>
      <c r="FR173">
        <v>1.49</v>
      </c>
      <c r="HG173">
        <v>4</v>
      </c>
    </row>
    <row r="174" spans="161:482" x14ac:dyDescent="0.2">
      <c r="FR174" t="s">
        <v>1467</v>
      </c>
      <c r="FS174">
        <v>1.49</v>
      </c>
      <c r="NN174">
        <v>4</v>
      </c>
    </row>
    <row r="175" spans="161:482" x14ac:dyDescent="0.2">
      <c r="FS175" t="s">
        <v>1467</v>
      </c>
      <c r="FT175">
        <v>1.49</v>
      </c>
    </row>
    <row r="176" spans="161:482" x14ac:dyDescent="0.2">
      <c r="FT176" t="s">
        <v>1467</v>
      </c>
      <c r="FU176">
        <v>1.49</v>
      </c>
    </row>
    <row r="177" spans="177:648" x14ac:dyDescent="0.2">
      <c r="FU177" t="s">
        <v>1467</v>
      </c>
      <c r="FV177">
        <v>1.49</v>
      </c>
      <c r="KP177">
        <v>4</v>
      </c>
      <c r="NO177">
        <v>4</v>
      </c>
      <c r="WJ177">
        <v>7</v>
      </c>
      <c r="XX177">
        <v>7</v>
      </c>
    </row>
    <row r="178" spans="177:648" x14ac:dyDescent="0.2">
      <c r="FV178" t="s">
        <v>1467</v>
      </c>
      <c r="FW178">
        <v>1.49</v>
      </c>
    </row>
    <row r="179" spans="177:648" x14ac:dyDescent="0.2">
      <c r="FW179" t="s">
        <v>1467</v>
      </c>
      <c r="FX179">
        <v>1.49</v>
      </c>
    </row>
    <row r="180" spans="177:648" x14ac:dyDescent="0.2">
      <c r="FX180" t="s">
        <v>1467</v>
      </c>
      <c r="FY180">
        <v>1.49</v>
      </c>
      <c r="KN180">
        <v>4</v>
      </c>
    </row>
    <row r="181" spans="177:648" x14ac:dyDescent="0.2">
      <c r="FY181" t="s">
        <v>1467</v>
      </c>
      <c r="FZ181">
        <v>1.49</v>
      </c>
    </row>
    <row r="182" spans="177:648" x14ac:dyDescent="0.2">
      <c r="FZ182" t="s">
        <v>1467</v>
      </c>
      <c r="GA182">
        <v>1.49</v>
      </c>
    </row>
    <row r="183" spans="177:648" x14ac:dyDescent="0.2">
      <c r="GA183" t="s">
        <v>1467</v>
      </c>
      <c r="GB183">
        <v>1.49</v>
      </c>
    </row>
    <row r="184" spans="177:648" x14ac:dyDescent="0.2">
      <c r="GB184" t="s">
        <v>1467</v>
      </c>
      <c r="GC184">
        <v>1.49</v>
      </c>
    </row>
    <row r="185" spans="177:648" x14ac:dyDescent="0.2">
      <c r="GC185" t="s">
        <v>1467</v>
      </c>
      <c r="GD185">
        <v>1.49</v>
      </c>
    </row>
    <row r="186" spans="177:648" x14ac:dyDescent="0.2">
      <c r="GD186" t="s">
        <v>1467</v>
      </c>
      <c r="GE186">
        <v>1.49</v>
      </c>
      <c r="GJ186">
        <v>1.49</v>
      </c>
    </row>
    <row r="187" spans="177:648" x14ac:dyDescent="0.2">
      <c r="GE187" t="s">
        <v>1467</v>
      </c>
      <c r="GF187">
        <v>1.49</v>
      </c>
      <c r="QQ187">
        <v>7</v>
      </c>
    </row>
    <row r="188" spans="177:648" x14ac:dyDescent="0.2">
      <c r="GF188" t="s">
        <v>1467</v>
      </c>
      <c r="GG188">
        <v>1.49</v>
      </c>
      <c r="QR188">
        <v>7</v>
      </c>
    </row>
    <row r="189" spans="177:648" x14ac:dyDescent="0.2">
      <c r="GG189" t="s">
        <v>1467</v>
      </c>
      <c r="GH189">
        <v>1.49</v>
      </c>
      <c r="QS189">
        <v>7</v>
      </c>
    </row>
    <row r="190" spans="177:648" x14ac:dyDescent="0.2">
      <c r="GH190" t="s">
        <v>1467</v>
      </c>
      <c r="GI190">
        <v>1.49</v>
      </c>
    </row>
    <row r="191" spans="177:648" x14ac:dyDescent="0.2">
      <c r="GI191" t="s">
        <v>1467</v>
      </c>
    </row>
    <row r="192" spans="177:648" x14ac:dyDescent="0.2">
      <c r="GJ192" t="s">
        <v>1467</v>
      </c>
      <c r="GK192">
        <v>1.49</v>
      </c>
    </row>
    <row r="193" spans="193:544" x14ac:dyDescent="0.2">
      <c r="GK193" t="s">
        <v>1467</v>
      </c>
      <c r="GL193">
        <v>1.49</v>
      </c>
    </row>
    <row r="194" spans="193:544" x14ac:dyDescent="0.2">
      <c r="GL194" t="s">
        <v>1467</v>
      </c>
      <c r="GM194">
        <v>1.49</v>
      </c>
    </row>
    <row r="195" spans="193:544" x14ac:dyDescent="0.2">
      <c r="GM195" t="s">
        <v>1467</v>
      </c>
      <c r="TX195">
        <v>7</v>
      </c>
    </row>
    <row r="196" spans="193:544" x14ac:dyDescent="0.2">
      <c r="GN196" t="s">
        <v>1467</v>
      </c>
      <c r="GO196">
        <v>1.29</v>
      </c>
    </row>
    <row r="197" spans="193:544" x14ac:dyDescent="0.2">
      <c r="GO197" t="s">
        <v>1467</v>
      </c>
      <c r="GP197">
        <v>1.29</v>
      </c>
    </row>
    <row r="198" spans="193:544" x14ac:dyDescent="0.2">
      <c r="GP198" t="s">
        <v>1467</v>
      </c>
      <c r="GQ198">
        <v>1.29</v>
      </c>
    </row>
    <row r="199" spans="193:544" x14ac:dyDescent="0.2">
      <c r="GQ199" t="s">
        <v>1467</v>
      </c>
      <c r="GR199">
        <v>1.29</v>
      </c>
    </row>
    <row r="200" spans="193:544" x14ac:dyDescent="0.2">
      <c r="GR200" t="s">
        <v>1467</v>
      </c>
      <c r="GS200">
        <v>1.29</v>
      </c>
      <c r="GT200">
        <v>1.29</v>
      </c>
    </row>
    <row r="201" spans="193:544" x14ac:dyDescent="0.2">
      <c r="GS201" t="s">
        <v>1467</v>
      </c>
      <c r="GU201">
        <v>1.29</v>
      </c>
    </row>
    <row r="202" spans="193:544" x14ac:dyDescent="0.2">
      <c r="GT202" t="s">
        <v>1467</v>
      </c>
      <c r="GU202">
        <v>1.29</v>
      </c>
      <c r="KY202">
        <v>4</v>
      </c>
    </row>
    <row r="203" spans="193:544" x14ac:dyDescent="0.2">
      <c r="GU203" t="s">
        <v>1467</v>
      </c>
      <c r="RI203">
        <v>7</v>
      </c>
    </row>
    <row r="204" spans="193:544" x14ac:dyDescent="0.2">
      <c r="GV204" t="s">
        <v>1467</v>
      </c>
      <c r="GW204">
        <v>1.41</v>
      </c>
      <c r="PZ204">
        <v>7</v>
      </c>
      <c r="QD204">
        <v>7</v>
      </c>
    </row>
    <row r="205" spans="193:544" x14ac:dyDescent="0.2">
      <c r="GW205" t="s">
        <v>1467</v>
      </c>
      <c r="GX205">
        <v>1.41</v>
      </c>
    </row>
    <row r="206" spans="193:544" x14ac:dyDescent="0.2">
      <c r="GX206" t="s">
        <v>1467</v>
      </c>
      <c r="GY206">
        <v>1.41</v>
      </c>
    </row>
    <row r="207" spans="193:544" x14ac:dyDescent="0.2">
      <c r="GY207" t="s">
        <v>1467</v>
      </c>
      <c r="GZ207">
        <v>1.41</v>
      </c>
    </row>
    <row r="208" spans="193:544" x14ac:dyDescent="0.2">
      <c r="GZ208" t="s">
        <v>1467</v>
      </c>
      <c r="HA208">
        <v>1.41</v>
      </c>
    </row>
    <row r="209" spans="209:377" x14ac:dyDescent="0.2">
      <c r="HA209">
        <v>4</v>
      </c>
      <c r="HB209">
        <v>1.41</v>
      </c>
    </row>
    <row r="210" spans="209:377" x14ac:dyDescent="0.2">
      <c r="HB210" t="s">
        <v>1467</v>
      </c>
      <c r="HC210">
        <v>1.41</v>
      </c>
    </row>
    <row r="211" spans="209:377" x14ac:dyDescent="0.2">
      <c r="HC211" t="s">
        <v>1467</v>
      </c>
      <c r="HD211">
        <v>1.41</v>
      </c>
    </row>
    <row r="212" spans="209:377" x14ac:dyDescent="0.2">
      <c r="HD212" t="s">
        <v>1467</v>
      </c>
      <c r="HE212">
        <v>1.41</v>
      </c>
      <c r="MZ212">
        <v>4</v>
      </c>
    </row>
    <row r="213" spans="209:377" x14ac:dyDescent="0.2">
      <c r="HE213" t="s">
        <v>1467</v>
      </c>
      <c r="HF213">
        <v>1.41</v>
      </c>
      <c r="LP213">
        <v>4</v>
      </c>
    </row>
    <row r="214" spans="209:377" x14ac:dyDescent="0.2">
      <c r="HF214" t="s">
        <v>1467</v>
      </c>
      <c r="HG214">
        <v>1.41</v>
      </c>
      <c r="LO214">
        <v>4</v>
      </c>
      <c r="NM214">
        <v>4</v>
      </c>
    </row>
    <row r="215" spans="209:377" x14ac:dyDescent="0.2">
      <c r="HG215" t="s">
        <v>1467</v>
      </c>
      <c r="HH215">
        <v>1.41</v>
      </c>
    </row>
    <row r="216" spans="209:377" x14ac:dyDescent="0.2">
      <c r="HH216" t="s">
        <v>1467</v>
      </c>
      <c r="HI216">
        <v>1.41</v>
      </c>
      <c r="JB216">
        <v>4</v>
      </c>
    </row>
    <row r="217" spans="209:377" x14ac:dyDescent="0.2">
      <c r="HI217" t="s">
        <v>1467</v>
      </c>
      <c r="HJ217">
        <v>1.41</v>
      </c>
    </row>
    <row r="218" spans="209:377" x14ac:dyDescent="0.2">
      <c r="HJ218" t="s">
        <v>1467</v>
      </c>
      <c r="HK218">
        <v>1.41</v>
      </c>
    </row>
    <row r="219" spans="209:377" x14ac:dyDescent="0.2">
      <c r="HK219">
        <v>4</v>
      </c>
      <c r="HL219">
        <v>1.41</v>
      </c>
      <c r="JE219">
        <v>4</v>
      </c>
    </row>
    <row r="220" spans="209:377" x14ac:dyDescent="0.2">
      <c r="HL220" t="s">
        <v>1467</v>
      </c>
      <c r="HM220">
        <v>1.41</v>
      </c>
      <c r="JF220">
        <v>4</v>
      </c>
      <c r="KT220">
        <v>4</v>
      </c>
    </row>
    <row r="221" spans="209:377" x14ac:dyDescent="0.2">
      <c r="HM221" t="s">
        <v>1467</v>
      </c>
      <c r="HN221">
        <v>1.41</v>
      </c>
    </row>
    <row r="222" spans="209:377" x14ac:dyDescent="0.2">
      <c r="HN222" t="s">
        <v>1467</v>
      </c>
      <c r="HO222">
        <v>1.41</v>
      </c>
    </row>
    <row r="223" spans="209:377" x14ac:dyDescent="0.2">
      <c r="HO223" t="s">
        <v>1467</v>
      </c>
      <c r="HP223">
        <v>1.41</v>
      </c>
    </row>
    <row r="224" spans="209:377" x14ac:dyDescent="0.2">
      <c r="HP224" t="s">
        <v>1467</v>
      </c>
      <c r="HQ224">
        <v>1.41</v>
      </c>
    </row>
    <row r="225" spans="225:466" x14ac:dyDescent="0.2">
      <c r="HQ225" t="s">
        <v>1467</v>
      </c>
      <c r="HR225">
        <v>1.41</v>
      </c>
    </row>
    <row r="226" spans="225:466" x14ac:dyDescent="0.2">
      <c r="HR226" t="s">
        <v>1467</v>
      </c>
      <c r="HS226">
        <v>1.41</v>
      </c>
    </row>
    <row r="227" spans="225:466" x14ac:dyDescent="0.2">
      <c r="HS227" t="s">
        <v>1467</v>
      </c>
      <c r="HT227">
        <v>1.41</v>
      </c>
    </row>
    <row r="228" spans="225:466" x14ac:dyDescent="0.2">
      <c r="HT228" t="s">
        <v>1467</v>
      </c>
      <c r="HU228">
        <v>1.41</v>
      </c>
    </row>
    <row r="229" spans="225:466" x14ac:dyDescent="0.2">
      <c r="HU229" t="s">
        <v>1467</v>
      </c>
      <c r="HV229">
        <v>1.41</v>
      </c>
    </row>
    <row r="230" spans="225:466" x14ac:dyDescent="0.2">
      <c r="HV230" t="s">
        <v>1467</v>
      </c>
      <c r="HW230">
        <v>1.41</v>
      </c>
    </row>
    <row r="231" spans="225:466" x14ac:dyDescent="0.2">
      <c r="HW231" t="s">
        <v>1467</v>
      </c>
      <c r="HX231">
        <v>1.41</v>
      </c>
      <c r="QX231">
        <v>7</v>
      </c>
    </row>
    <row r="232" spans="225:466" x14ac:dyDescent="0.2">
      <c r="HX232" t="s">
        <v>1467</v>
      </c>
      <c r="HY232">
        <v>1.41</v>
      </c>
      <c r="QW232">
        <v>7</v>
      </c>
    </row>
    <row r="233" spans="225:466" x14ac:dyDescent="0.2">
      <c r="HY233" t="s">
        <v>1467</v>
      </c>
      <c r="HZ233">
        <v>1.41</v>
      </c>
    </row>
    <row r="234" spans="225:466" x14ac:dyDescent="0.2">
      <c r="HZ234" t="s">
        <v>1467</v>
      </c>
      <c r="IA234">
        <v>1.41</v>
      </c>
    </row>
    <row r="235" spans="225:466" x14ac:dyDescent="0.2">
      <c r="IA235" t="s">
        <v>1467</v>
      </c>
      <c r="IB235">
        <v>1.41</v>
      </c>
    </row>
    <row r="236" spans="225:466" x14ac:dyDescent="0.2">
      <c r="IB236" t="s">
        <v>1467</v>
      </c>
      <c r="IC236">
        <v>1.41</v>
      </c>
    </row>
    <row r="237" spans="225:466" x14ac:dyDescent="0.2">
      <c r="IC237" t="s">
        <v>1467</v>
      </c>
      <c r="ID237">
        <v>1.41</v>
      </c>
    </row>
    <row r="238" spans="225:466" x14ac:dyDescent="0.2">
      <c r="ID238" t="s">
        <v>1467</v>
      </c>
      <c r="IE238">
        <v>1.41</v>
      </c>
    </row>
    <row r="239" spans="225:466" x14ac:dyDescent="0.2">
      <c r="IE239" t="s">
        <v>1467</v>
      </c>
      <c r="IF239">
        <v>1.41</v>
      </c>
    </row>
    <row r="240" spans="225:466" x14ac:dyDescent="0.2">
      <c r="IF240" t="s">
        <v>1467</v>
      </c>
      <c r="IG240">
        <v>1.41</v>
      </c>
    </row>
    <row r="241" spans="241:435" x14ac:dyDescent="0.2">
      <c r="IG241" t="s">
        <v>1467</v>
      </c>
    </row>
    <row r="242" spans="241:435" x14ac:dyDescent="0.2">
      <c r="IH242" t="s">
        <v>1467</v>
      </c>
      <c r="II242">
        <v>1.44</v>
      </c>
      <c r="PS242">
        <v>7</v>
      </c>
    </row>
    <row r="243" spans="241:435" x14ac:dyDescent="0.2">
      <c r="II243" t="s">
        <v>1467</v>
      </c>
      <c r="IJ243">
        <v>1.44</v>
      </c>
    </row>
    <row r="244" spans="241:435" x14ac:dyDescent="0.2">
      <c r="IJ244" t="s">
        <v>1467</v>
      </c>
      <c r="IK244">
        <v>1.44</v>
      </c>
    </row>
    <row r="245" spans="241:435" x14ac:dyDescent="0.2">
      <c r="IK245" t="s">
        <v>1467</v>
      </c>
      <c r="IL245">
        <v>1.44</v>
      </c>
    </row>
    <row r="246" spans="241:435" x14ac:dyDescent="0.2">
      <c r="IL246" t="s">
        <v>1467</v>
      </c>
      <c r="IM246">
        <v>1.44</v>
      </c>
    </row>
    <row r="247" spans="241:435" x14ac:dyDescent="0.2">
      <c r="IM247" t="s">
        <v>1467</v>
      </c>
      <c r="IN247">
        <v>1.44</v>
      </c>
      <c r="JX247">
        <v>4</v>
      </c>
    </row>
    <row r="248" spans="241:435" x14ac:dyDescent="0.2">
      <c r="IN248" t="s">
        <v>1467</v>
      </c>
      <c r="IO248">
        <v>1.44</v>
      </c>
      <c r="JV248">
        <v>4</v>
      </c>
    </row>
    <row r="249" spans="241:435" x14ac:dyDescent="0.2">
      <c r="IO249" t="s">
        <v>1467</v>
      </c>
      <c r="IP249">
        <v>1.44</v>
      </c>
    </row>
    <row r="250" spans="241:435" x14ac:dyDescent="0.2">
      <c r="IP250" t="s">
        <v>1467</v>
      </c>
      <c r="IQ250">
        <v>1.44</v>
      </c>
    </row>
    <row r="251" spans="241:435" x14ac:dyDescent="0.2">
      <c r="IQ251" t="s">
        <v>1467</v>
      </c>
      <c r="IR251">
        <v>1.44</v>
      </c>
    </row>
    <row r="252" spans="241:435" x14ac:dyDescent="0.2">
      <c r="IR252" t="s">
        <v>1467</v>
      </c>
      <c r="IS252">
        <v>1.44</v>
      </c>
    </row>
    <row r="253" spans="241:435" x14ac:dyDescent="0.2">
      <c r="IS253" t="s">
        <v>1467</v>
      </c>
      <c r="IT253">
        <v>1.44</v>
      </c>
    </row>
    <row r="254" spans="241:435" x14ac:dyDescent="0.2">
      <c r="IT254" t="s">
        <v>1467</v>
      </c>
      <c r="IU254">
        <v>1.44</v>
      </c>
    </row>
    <row r="255" spans="241:435" x14ac:dyDescent="0.2">
      <c r="IU255" t="s">
        <v>1467</v>
      </c>
      <c r="IV255">
        <v>1.44</v>
      </c>
    </row>
    <row r="256" spans="241:435" x14ac:dyDescent="0.2">
      <c r="IV256" t="s">
        <v>1467</v>
      </c>
      <c r="IW256">
        <v>1.44</v>
      </c>
    </row>
    <row r="257" spans="257:610" x14ac:dyDescent="0.2">
      <c r="IW257" t="s">
        <v>1467</v>
      </c>
      <c r="IX257">
        <v>1.44</v>
      </c>
    </row>
    <row r="258" spans="257:610" x14ac:dyDescent="0.2">
      <c r="IX258" t="s">
        <v>1467</v>
      </c>
      <c r="IY258">
        <v>1.44</v>
      </c>
      <c r="MX258">
        <v>4</v>
      </c>
    </row>
    <row r="259" spans="257:610" x14ac:dyDescent="0.2">
      <c r="IY259" t="s">
        <v>1467</v>
      </c>
      <c r="IZ259">
        <v>1.44</v>
      </c>
    </row>
    <row r="260" spans="257:610" x14ac:dyDescent="0.2">
      <c r="IZ260" t="s">
        <v>1467</v>
      </c>
      <c r="JA260">
        <v>1.44</v>
      </c>
    </row>
    <row r="261" spans="257:610" x14ac:dyDescent="0.2">
      <c r="JA261" t="s">
        <v>1467</v>
      </c>
      <c r="JB261">
        <v>1.44</v>
      </c>
    </row>
    <row r="262" spans="257:610" x14ac:dyDescent="0.2">
      <c r="JB262" t="s">
        <v>1467</v>
      </c>
      <c r="JC262">
        <v>1.44</v>
      </c>
    </row>
    <row r="263" spans="257:610" x14ac:dyDescent="0.2">
      <c r="JC263" t="s">
        <v>1467</v>
      </c>
      <c r="JD263">
        <v>1.44</v>
      </c>
    </row>
    <row r="264" spans="257:610" x14ac:dyDescent="0.2">
      <c r="JD264" t="s">
        <v>1467</v>
      </c>
      <c r="JE264">
        <v>1.44</v>
      </c>
    </row>
    <row r="265" spans="257:610" x14ac:dyDescent="0.2">
      <c r="JE265" t="s">
        <v>1467</v>
      </c>
      <c r="JF265">
        <v>1.44</v>
      </c>
    </row>
    <row r="266" spans="257:610" x14ac:dyDescent="0.2">
      <c r="JF266" t="s">
        <v>1467</v>
      </c>
      <c r="JG266">
        <v>1.44</v>
      </c>
      <c r="KT266">
        <v>4</v>
      </c>
    </row>
    <row r="267" spans="257:610" x14ac:dyDescent="0.2">
      <c r="JG267" t="s">
        <v>1467</v>
      </c>
      <c r="JH267">
        <v>1.44</v>
      </c>
    </row>
    <row r="268" spans="257:610" x14ac:dyDescent="0.2">
      <c r="JH268" t="s">
        <v>1467</v>
      </c>
      <c r="JI268">
        <v>1.44</v>
      </c>
    </row>
    <row r="269" spans="257:610" x14ac:dyDescent="0.2">
      <c r="JI269" t="s">
        <v>1467</v>
      </c>
      <c r="JJ269">
        <v>1.44</v>
      </c>
    </row>
    <row r="270" spans="257:610" x14ac:dyDescent="0.2">
      <c r="JJ270" t="s">
        <v>1467</v>
      </c>
      <c r="JK270">
        <v>1.44</v>
      </c>
    </row>
    <row r="271" spans="257:610" x14ac:dyDescent="0.2">
      <c r="JK271" t="s">
        <v>1467</v>
      </c>
      <c r="JL271">
        <v>1.44</v>
      </c>
    </row>
    <row r="272" spans="257:610" x14ac:dyDescent="0.2">
      <c r="JL272" t="s">
        <v>1467</v>
      </c>
      <c r="JM272">
        <v>1.44</v>
      </c>
      <c r="WL272">
        <v>7</v>
      </c>
    </row>
    <row r="273" spans="273:471" x14ac:dyDescent="0.2">
      <c r="JM273" t="s">
        <v>1467</v>
      </c>
      <c r="JN273">
        <v>1.44</v>
      </c>
    </row>
    <row r="274" spans="273:471" x14ac:dyDescent="0.2">
      <c r="JN274" t="s">
        <v>1467</v>
      </c>
      <c r="JO274">
        <v>1.44</v>
      </c>
    </row>
    <row r="275" spans="273:471" x14ac:dyDescent="0.2">
      <c r="JO275" t="s">
        <v>1467</v>
      </c>
      <c r="JP275">
        <v>1.44</v>
      </c>
      <c r="RC275">
        <v>7</v>
      </c>
    </row>
    <row r="276" spans="273:471" x14ac:dyDescent="0.2">
      <c r="JP276" t="s">
        <v>1467</v>
      </c>
      <c r="JQ276">
        <v>1.44</v>
      </c>
    </row>
    <row r="277" spans="273:471" x14ac:dyDescent="0.2">
      <c r="JQ277" t="s">
        <v>1467</v>
      </c>
      <c r="JR277">
        <v>1.44</v>
      </c>
    </row>
    <row r="278" spans="273:471" x14ac:dyDescent="0.2">
      <c r="JR278" t="s">
        <v>1467</v>
      </c>
    </row>
    <row r="279" spans="273:471" x14ac:dyDescent="0.2">
      <c r="JS279" t="s">
        <v>1467</v>
      </c>
      <c r="JT279">
        <v>1.45</v>
      </c>
      <c r="PR279">
        <v>7</v>
      </c>
    </row>
    <row r="280" spans="273:471" x14ac:dyDescent="0.2">
      <c r="JT280" t="s">
        <v>1467</v>
      </c>
      <c r="JU280">
        <v>1.45</v>
      </c>
      <c r="JX280">
        <v>1.45</v>
      </c>
    </row>
    <row r="281" spans="273:471" x14ac:dyDescent="0.2">
      <c r="JU281" t="s">
        <v>1467</v>
      </c>
      <c r="JV281">
        <v>1.45</v>
      </c>
    </row>
    <row r="282" spans="273:471" x14ac:dyDescent="0.2">
      <c r="JV282" t="s">
        <v>1467</v>
      </c>
      <c r="JW282">
        <v>1.45</v>
      </c>
    </row>
    <row r="283" spans="273:471" x14ac:dyDescent="0.2">
      <c r="JW283" t="s">
        <v>1467</v>
      </c>
      <c r="KA283">
        <v>1.45</v>
      </c>
    </row>
    <row r="284" spans="273:471" x14ac:dyDescent="0.2">
      <c r="JX284" t="s">
        <v>1467</v>
      </c>
      <c r="JY284">
        <v>1.45</v>
      </c>
    </row>
    <row r="285" spans="273:471" x14ac:dyDescent="0.2">
      <c r="JY285" t="s">
        <v>1467</v>
      </c>
      <c r="JZ285">
        <v>1.45</v>
      </c>
    </row>
    <row r="286" spans="273:471" x14ac:dyDescent="0.2">
      <c r="JZ286" t="s">
        <v>1467</v>
      </c>
      <c r="KA286">
        <v>1.45</v>
      </c>
    </row>
    <row r="287" spans="273:471" x14ac:dyDescent="0.2">
      <c r="KA287" t="s">
        <v>1467</v>
      </c>
      <c r="KB287">
        <v>1.45</v>
      </c>
    </row>
    <row r="288" spans="273:471" x14ac:dyDescent="0.2">
      <c r="KB288" t="s">
        <v>1467</v>
      </c>
      <c r="KC288">
        <v>1.45</v>
      </c>
    </row>
    <row r="289" spans="289:649" x14ac:dyDescent="0.2">
      <c r="KC289" t="s">
        <v>1467</v>
      </c>
      <c r="KD289">
        <v>1.45</v>
      </c>
    </row>
    <row r="290" spans="289:649" x14ac:dyDescent="0.2">
      <c r="KD290">
        <v>4</v>
      </c>
      <c r="KE290">
        <v>1.45</v>
      </c>
    </row>
    <row r="291" spans="289:649" x14ac:dyDescent="0.2">
      <c r="KE291" t="s">
        <v>1467</v>
      </c>
      <c r="KF291">
        <v>1.45</v>
      </c>
    </row>
    <row r="292" spans="289:649" x14ac:dyDescent="0.2">
      <c r="KF292" t="s">
        <v>1467</v>
      </c>
      <c r="KG292">
        <v>1.45</v>
      </c>
      <c r="NC292">
        <v>4</v>
      </c>
    </row>
    <row r="293" spans="289:649" x14ac:dyDescent="0.2">
      <c r="KG293" t="s">
        <v>1467</v>
      </c>
      <c r="KH293">
        <v>1.45</v>
      </c>
    </row>
    <row r="294" spans="289:649" x14ac:dyDescent="0.2">
      <c r="KH294" t="s">
        <v>1467</v>
      </c>
      <c r="KI294">
        <v>1.45</v>
      </c>
      <c r="LT294">
        <v>4</v>
      </c>
    </row>
    <row r="295" spans="289:649" x14ac:dyDescent="0.2">
      <c r="KI295" t="s">
        <v>1467</v>
      </c>
      <c r="KJ295">
        <v>1.45</v>
      </c>
    </row>
    <row r="296" spans="289:649" x14ac:dyDescent="0.2">
      <c r="KJ296" t="s">
        <v>1467</v>
      </c>
      <c r="KK296">
        <v>1.45</v>
      </c>
    </row>
    <row r="297" spans="289:649" x14ac:dyDescent="0.2">
      <c r="KK297" t="s">
        <v>1467</v>
      </c>
      <c r="KL297">
        <v>1.45</v>
      </c>
      <c r="XY297">
        <v>7</v>
      </c>
    </row>
    <row r="298" spans="289:649" x14ac:dyDescent="0.2">
      <c r="KL298" t="s">
        <v>1467</v>
      </c>
      <c r="KM298">
        <v>1.45</v>
      </c>
    </row>
    <row r="299" spans="289:649" x14ac:dyDescent="0.2">
      <c r="KM299" t="s">
        <v>1467</v>
      </c>
      <c r="KN299">
        <v>1.45</v>
      </c>
    </row>
    <row r="300" spans="289:649" x14ac:dyDescent="0.2">
      <c r="KN300" t="s">
        <v>1467</v>
      </c>
      <c r="KO300">
        <v>1.45</v>
      </c>
    </row>
    <row r="301" spans="289:649" x14ac:dyDescent="0.2">
      <c r="KO301" t="s">
        <v>1467</v>
      </c>
    </row>
    <row r="302" spans="289:649" x14ac:dyDescent="0.2">
      <c r="KP302" t="s">
        <v>1467</v>
      </c>
      <c r="KQ302">
        <v>1.25</v>
      </c>
      <c r="NO302">
        <v>4</v>
      </c>
      <c r="WJ302">
        <v>7</v>
      </c>
      <c r="XX302">
        <v>7</v>
      </c>
    </row>
    <row r="303" spans="289:649" x14ac:dyDescent="0.2">
      <c r="KQ303" t="s">
        <v>1467</v>
      </c>
      <c r="KR303">
        <v>1.25</v>
      </c>
    </row>
    <row r="304" spans="289:649" x14ac:dyDescent="0.2">
      <c r="KR304" t="s">
        <v>1467</v>
      </c>
      <c r="KS304">
        <v>1.25</v>
      </c>
    </row>
    <row r="305" spans="305:487" x14ac:dyDescent="0.2">
      <c r="KS305" t="s">
        <v>1467</v>
      </c>
      <c r="KT305">
        <v>1.25</v>
      </c>
    </row>
    <row r="306" spans="305:487" x14ac:dyDescent="0.2">
      <c r="KT306" t="s">
        <v>1467</v>
      </c>
      <c r="KU306">
        <v>1.25</v>
      </c>
    </row>
    <row r="307" spans="305:487" x14ac:dyDescent="0.2">
      <c r="KU307" t="s">
        <v>1467</v>
      </c>
      <c r="KV307">
        <v>1.25</v>
      </c>
    </row>
    <row r="308" spans="305:487" x14ac:dyDescent="0.2">
      <c r="KV308" t="s">
        <v>1467</v>
      </c>
      <c r="KW308">
        <v>1.25</v>
      </c>
    </row>
    <row r="309" spans="305:487" x14ac:dyDescent="0.2">
      <c r="KW309" t="s">
        <v>1467</v>
      </c>
      <c r="KX309">
        <v>1.25</v>
      </c>
    </row>
    <row r="310" spans="305:487" x14ac:dyDescent="0.2">
      <c r="KX310" t="s">
        <v>1467</v>
      </c>
      <c r="KY310">
        <v>1.25</v>
      </c>
    </row>
    <row r="311" spans="305:487" x14ac:dyDescent="0.2">
      <c r="KY311" t="s">
        <v>1467</v>
      </c>
      <c r="KZ311">
        <v>1.25</v>
      </c>
    </row>
    <row r="312" spans="305:487" x14ac:dyDescent="0.2">
      <c r="KZ312" t="s">
        <v>1467</v>
      </c>
      <c r="LA312">
        <v>1.25</v>
      </c>
    </row>
    <row r="313" spans="305:487" x14ac:dyDescent="0.2">
      <c r="LA313" t="s">
        <v>1467</v>
      </c>
      <c r="LB313">
        <v>1.25</v>
      </c>
      <c r="RH313">
        <v>7</v>
      </c>
    </row>
    <row r="314" spans="305:487" x14ac:dyDescent="0.2">
      <c r="LB314" t="s">
        <v>1467</v>
      </c>
    </row>
    <row r="315" spans="305:487" x14ac:dyDescent="0.2">
      <c r="LC315" t="s">
        <v>1467</v>
      </c>
      <c r="LD315">
        <v>1.36</v>
      </c>
    </row>
    <row r="316" spans="305:487" x14ac:dyDescent="0.2">
      <c r="LD316" t="s">
        <v>1467</v>
      </c>
      <c r="LE316">
        <v>1.36</v>
      </c>
      <c r="RS316">
        <v>7</v>
      </c>
    </row>
    <row r="317" spans="305:487" x14ac:dyDescent="0.2">
      <c r="LE317" t="s">
        <v>1467</v>
      </c>
      <c r="LF317">
        <v>1.36</v>
      </c>
    </row>
    <row r="318" spans="305:487" x14ac:dyDescent="0.2">
      <c r="LF318" t="s">
        <v>1467</v>
      </c>
      <c r="LG318">
        <v>1.36</v>
      </c>
    </row>
    <row r="319" spans="305:487" x14ac:dyDescent="0.2">
      <c r="LG319" t="s">
        <v>1467</v>
      </c>
      <c r="LH319">
        <v>1.36</v>
      </c>
    </row>
    <row r="320" spans="305:487" x14ac:dyDescent="0.2">
      <c r="LH320" t="s">
        <v>1467</v>
      </c>
      <c r="LI320">
        <v>1.36</v>
      </c>
    </row>
    <row r="321" spans="321:377" x14ac:dyDescent="0.2">
      <c r="LI321" t="s">
        <v>1467</v>
      </c>
      <c r="LJ321">
        <v>1.36</v>
      </c>
    </row>
    <row r="322" spans="321:377" x14ac:dyDescent="0.2">
      <c r="LJ322" t="s">
        <v>1467</v>
      </c>
      <c r="LK322">
        <v>1.36</v>
      </c>
    </row>
    <row r="323" spans="321:377" x14ac:dyDescent="0.2">
      <c r="LK323" t="s">
        <v>1467</v>
      </c>
      <c r="LL323">
        <v>1.36</v>
      </c>
    </row>
    <row r="324" spans="321:377" x14ac:dyDescent="0.2">
      <c r="LL324" t="s">
        <v>1467</v>
      </c>
      <c r="LM324">
        <v>1.36</v>
      </c>
    </row>
    <row r="325" spans="321:377" x14ac:dyDescent="0.2">
      <c r="LM325" t="s">
        <v>1467</v>
      </c>
      <c r="LN325">
        <v>1.36</v>
      </c>
    </row>
    <row r="326" spans="321:377" x14ac:dyDescent="0.2">
      <c r="LN326" t="s">
        <v>1467</v>
      </c>
      <c r="LO326">
        <v>1.36</v>
      </c>
      <c r="MW326">
        <v>4</v>
      </c>
      <c r="NL326">
        <v>4</v>
      </c>
    </row>
    <row r="327" spans="321:377" x14ac:dyDescent="0.2">
      <c r="LO327">
        <v>4</v>
      </c>
      <c r="LP327">
        <v>1.36</v>
      </c>
      <c r="NM327">
        <v>4</v>
      </c>
    </row>
    <row r="328" spans="321:377" x14ac:dyDescent="0.2">
      <c r="LP328" t="s">
        <v>1467</v>
      </c>
      <c r="LQ328">
        <v>1.36</v>
      </c>
    </row>
    <row r="329" spans="321:377" x14ac:dyDescent="0.2">
      <c r="LQ329" t="s">
        <v>1467</v>
      </c>
      <c r="LR329">
        <v>1.36</v>
      </c>
    </row>
    <row r="330" spans="321:377" x14ac:dyDescent="0.2">
      <c r="LR330" t="s">
        <v>1467</v>
      </c>
      <c r="LS330">
        <v>1.36</v>
      </c>
    </row>
    <row r="331" spans="321:377" x14ac:dyDescent="0.2">
      <c r="LS331" t="s">
        <v>1467</v>
      </c>
      <c r="LT331">
        <v>1.36</v>
      </c>
    </row>
    <row r="332" spans="321:377" x14ac:dyDescent="0.2">
      <c r="LT332" t="s">
        <v>1467</v>
      </c>
      <c r="LU332">
        <v>1.36</v>
      </c>
    </row>
    <row r="333" spans="321:377" x14ac:dyDescent="0.2">
      <c r="LU333" t="s">
        <v>1467</v>
      </c>
      <c r="LV333">
        <v>1.36</v>
      </c>
    </row>
    <row r="334" spans="321:377" x14ac:dyDescent="0.2">
      <c r="LV334" t="s">
        <v>1467</v>
      </c>
      <c r="LW334">
        <v>1.36</v>
      </c>
    </row>
    <row r="335" spans="321:377" x14ac:dyDescent="0.2">
      <c r="LW335" t="s">
        <v>1467</v>
      </c>
      <c r="LX335">
        <v>1.36</v>
      </c>
      <c r="ND335">
        <v>4</v>
      </c>
    </row>
    <row r="336" spans="321:377" x14ac:dyDescent="0.2">
      <c r="LX336" t="s">
        <v>1467</v>
      </c>
      <c r="LY336">
        <v>1.36</v>
      </c>
    </row>
    <row r="337" spans="337:578" x14ac:dyDescent="0.2">
      <c r="LY337" t="s">
        <v>1467</v>
      </c>
      <c r="LZ337">
        <v>1.36</v>
      </c>
    </row>
    <row r="338" spans="337:578" x14ac:dyDescent="0.2">
      <c r="LZ338" t="s">
        <v>1467</v>
      </c>
      <c r="MA338">
        <v>1.36</v>
      </c>
    </row>
    <row r="339" spans="337:578" x14ac:dyDescent="0.2">
      <c r="MA339" t="s">
        <v>1467</v>
      </c>
      <c r="MB339">
        <v>1.36</v>
      </c>
    </row>
    <row r="340" spans="337:578" x14ac:dyDescent="0.2">
      <c r="MB340" t="s">
        <v>1467</v>
      </c>
      <c r="MC340">
        <v>1.36</v>
      </c>
    </row>
    <row r="341" spans="337:578" x14ac:dyDescent="0.2">
      <c r="MC341" t="s">
        <v>1467</v>
      </c>
      <c r="MD341">
        <v>1.36</v>
      </c>
      <c r="QB341">
        <v>7</v>
      </c>
      <c r="QF341">
        <v>7</v>
      </c>
    </row>
    <row r="342" spans="337:578" x14ac:dyDescent="0.2">
      <c r="MD342" t="s">
        <v>1467</v>
      </c>
      <c r="ME342">
        <v>1.36</v>
      </c>
    </row>
    <row r="343" spans="337:578" x14ac:dyDescent="0.2">
      <c r="ME343" t="s">
        <v>1467</v>
      </c>
    </row>
    <row r="344" spans="337:578" x14ac:dyDescent="0.2">
      <c r="MF344" t="s">
        <v>1467</v>
      </c>
      <c r="MG344">
        <v>1.55</v>
      </c>
    </row>
    <row r="345" spans="337:578" x14ac:dyDescent="0.2">
      <c r="MG345" t="s">
        <v>1467</v>
      </c>
      <c r="MH345">
        <v>1.55</v>
      </c>
      <c r="OH345">
        <v>7</v>
      </c>
    </row>
    <row r="346" spans="337:578" x14ac:dyDescent="0.2">
      <c r="MH346" t="s">
        <v>1467</v>
      </c>
      <c r="MI346">
        <v>1.55</v>
      </c>
      <c r="VF346">
        <v>7</v>
      </c>
    </row>
    <row r="347" spans="337:578" x14ac:dyDescent="0.2">
      <c r="MI347" t="s">
        <v>1467</v>
      </c>
      <c r="MJ347">
        <v>1.55</v>
      </c>
    </row>
    <row r="348" spans="337:578" x14ac:dyDescent="0.2">
      <c r="MJ348" t="s">
        <v>1467</v>
      </c>
      <c r="MK348">
        <v>1.55</v>
      </c>
    </row>
    <row r="349" spans="337:578" x14ac:dyDescent="0.2">
      <c r="MK349" t="s">
        <v>1467</v>
      </c>
      <c r="ML349">
        <v>1.55</v>
      </c>
    </row>
    <row r="350" spans="337:578" x14ac:dyDescent="0.2">
      <c r="ML350" t="s">
        <v>1467</v>
      </c>
      <c r="MM350">
        <v>1.55</v>
      </c>
      <c r="RW350">
        <v>7</v>
      </c>
    </row>
    <row r="351" spans="337:578" x14ac:dyDescent="0.2">
      <c r="MM351" t="s">
        <v>1467</v>
      </c>
      <c r="MT351">
        <v>1.55</v>
      </c>
    </row>
    <row r="352" spans="337:578" x14ac:dyDescent="0.2">
      <c r="MN352" t="s">
        <v>1467</v>
      </c>
      <c r="MO352">
        <v>1.55</v>
      </c>
      <c r="NU352">
        <v>7</v>
      </c>
    </row>
    <row r="353" spans="353:494" x14ac:dyDescent="0.2">
      <c r="MO353" t="s">
        <v>1467</v>
      </c>
      <c r="MP353">
        <v>1.55</v>
      </c>
    </row>
    <row r="354" spans="353:494" x14ac:dyDescent="0.2">
      <c r="MP354" t="s">
        <v>1467</v>
      </c>
      <c r="MQ354">
        <v>1.55</v>
      </c>
    </row>
    <row r="355" spans="353:494" x14ac:dyDescent="0.2">
      <c r="MQ355" t="s">
        <v>1467</v>
      </c>
      <c r="MR355">
        <v>1.55</v>
      </c>
    </row>
    <row r="356" spans="353:494" x14ac:dyDescent="0.2">
      <c r="MR356" t="s">
        <v>1467</v>
      </c>
      <c r="MS356">
        <v>1.55</v>
      </c>
      <c r="MT356">
        <v>1.55</v>
      </c>
      <c r="RZ356">
        <v>7</v>
      </c>
    </row>
    <row r="357" spans="353:494" x14ac:dyDescent="0.2">
      <c r="MS357" t="s">
        <v>1467</v>
      </c>
      <c r="MT357">
        <v>1.55</v>
      </c>
    </row>
    <row r="358" spans="353:494" x14ac:dyDescent="0.2">
      <c r="MT358">
        <v>1.55</v>
      </c>
      <c r="MU358">
        <v>1.55</v>
      </c>
    </row>
    <row r="359" spans="353:494" x14ac:dyDescent="0.2">
      <c r="MU359" t="s">
        <v>1467</v>
      </c>
      <c r="MV359">
        <v>1.55</v>
      </c>
    </row>
    <row r="360" spans="353:494" x14ac:dyDescent="0.2">
      <c r="MV360" t="s">
        <v>1467</v>
      </c>
      <c r="MW360">
        <v>1.55</v>
      </c>
    </row>
    <row r="361" spans="353:494" x14ac:dyDescent="0.2">
      <c r="MW361" t="s">
        <v>1467</v>
      </c>
      <c r="MX361">
        <v>1.55</v>
      </c>
      <c r="NL361">
        <v>4</v>
      </c>
    </row>
    <row r="362" spans="353:494" x14ac:dyDescent="0.2">
      <c r="MX362" t="s">
        <v>1467</v>
      </c>
      <c r="MY362">
        <v>1.55</v>
      </c>
    </row>
    <row r="363" spans="353:494" x14ac:dyDescent="0.2">
      <c r="MY363" t="s">
        <v>1467</v>
      </c>
      <c r="MZ363">
        <v>1.55</v>
      </c>
    </row>
    <row r="364" spans="353:494" x14ac:dyDescent="0.2">
      <c r="MZ364" t="s">
        <v>1467</v>
      </c>
      <c r="NA364">
        <v>1.55</v>
      </c>
    </row>
    <row r="365" spans="353:494" x14ac:dyDescent="0.2">
      <c r="NA365" t="s">
        <v>1467</v>
      </c>
      <c r="NB365">
        <v>1.55</v>
      </c>
    </row>
    <row r="366" spans="353:494" x14ac:dyDescent="0.2">
      <c r="NB366" t="s">
        <v>1467</v>
      </c>
      <c r="NC366">
        <v>1.55</v>
      </c>
    </row>
    <row r="367" spans="353:494" x14ac:dyDescent="0.2">
      <c r="NC367" t="s">
        <v>1467</v>
      </c>
      <c r="ND367">
        <v>1.55</v>
      </c>
    </row>
    <row r="368" spans="353:494" x14ac:dyDescent="0.2">
      <c r="ND368">
        <v>4</v>
      </c>
      <c r="NE368">
        <v>1.55</v>
      </c>
    </row>
    <row r="369" spans="369:648" x14ac:dyDescent="0.2">
      <c r="NE369" t="s">
        <v>1467</v>
      </c>
      <c r="NF369">
        <v>1.55</v>
      </c>
    </row>
    <row r="370" spans="369:648" x14ac:dyDescent="0.2">
      <c r="NF370" t="s">
        <v>1467</v>
      </c>
      <c r="NG370">
        <v>1.55</v>
      </c>
    </row>
    <row r="371" spans="369:648" x14ac:dyDescent="0.2">
      <c r="NG371" t="s">
        <v>1467</v>
      </c>
      <c r="NH371">
        <v>1.55</v>
      </c>
    </row>
    <row r="372" spans="369:648" x14ac:dyDescent="0.2">
      <c r="NH372" t="s">
        <v>1467</v>
      </c>
      <c r="NI372">
        <v>1.55</v>
      </c>
      <c r="QI372">
        <v>7</v>
      </c>
    </row>
    <row r="373" spans="369:648" x14ac:dyDescent="0.2">
      <c r="NI373" t="s">
        <v>1467</v>
      </c>
      <c r="NJ373">
        <v>1.55</v>
      </c>
    </row>
    <row r="374" spans="369:648" x14ac:dyDescent="0.2">
      <c r="NJ374" t="s">
        <v>1467</v>
      </c>
      <c r="NK374">
        <v>1.55</v>
      </c>
    </row>
    <row r="375" spans="369:648" x14ac:dyDescent="0.2">
      <c r="NK375" t="s">
        <v>1467</v>
      </c>
      <c r="TW375">
        <v>7</v>
      </c>
    </row>
    <row r="376" spans="369:648" x14ac:dyDescent="0.2">
      <c r="NL376" t="s">
        <v>1467</v>
      </c>
      <c r="NM376">
        <v>1.88</v>
      </c>
    </row>
    <row r="377" spans="369:648" x14ac:dyDescent="0.2">
      <c r="NM377" t="s">
        <v>1467</v>
      </c>
      <c r="NN377">
        <v>1.88</v>
      </c>
    </row>
    <row r="378" spans="369:648" x14ac:dyDescent="0.2">
      <c r="NN378" t="s">
        <v>1467</v>
      </c>
      <c r="NO378">
        <v>1.88</v>
      </c>
    </row>
    <row r="379" spans="369:648" x14ac:dyDescent="0.2">
      <c r="NO379" t="s">
        <v>1467</v>
      </c>
      <c r="NP379">
        <v>1.88</v>
      </c>
      <c r="WJ379">
        <v>7</v>
      </c>
      <c r="XX379">
        <v>7</v>
      </c>
    </row>
    <row r="380" spans="369:648" x14ac:dyDescent="0.2">
      <c r="NP380" t="s">
        <v>1467</v>
      </c>
      <c r="NQ380">
        <v>1.88</v>
      </c>
      <c r="WK380">
        <v>7</v>
      </c>
    </row>
    <row r="381" spans="369:648" x14ac:dyDescent="0.2">
      <c r="NQ381" t="s">
        <v>1467</v>
      </c>
      <c r="NR381">
        <v>1.88</v>
      </c>
    </row>
    <row r="382" spans="369:648" x14ac:dyDescent="0.2">
      <c r="NR382" t="s">
        <v>1467</v>
      </c>
      <c r="NS382">
        <v>1.88</v>
      </c>
    </row>
    <row r="383" spans="369:648" x14ac:dyDescent="0.2">
      <c r="NS383" t="s">
        <v>1467</v>
      </c>
      <c r="NT383">
        <v>1.88</v>
      </c>
      <c r="QU383">
        <v>7</v>
      </c>
    </row>
    <row r="384" spans="369:648" x14ac:dyDescent="0.2">
      <c r="NT384" t="s">
        <v>1467</v>
      </c>
    </row>
    <row r="385" spans="385:576" x14ac:dyDescent="0.2">
      <c r="NU385" t="s">
        <v>1467</v>
      </c>
      <c r="NV385">
        <v>1.83</v>
      </c>
    </row>
    <row r="386" spans="385:576" x14ac:dyDescent="0.2">
      <c r="NV386" t="s">
        <v>1467</v>
      </c>
      <c r="NW386">
        <v>1.83</v>
      </c>
    </row>
    <row r="387" spans="385:576" x14ac:dyDescent="0.2">
      <c r="NW387" t="s">
        <v>1467</v>
      </c>
      <c r="NX387">
        <v>1.83</v>
      </c>
    </row>
    <row r="388" spans="385:576" x14ac:dyDescent="0.2">
      <c r="NX388" t="s">
        <v>1467</v>
      </c>
      <c r="NY388">
        <v>1.83</v>
      </c>
    </row>
    <row r="389" spans="385:576" x14ac:dyDescent="0.2">
      <c r="NY389" t="s">
        <v>1467</v>
      </c>
      <c r="NZ389">
        <v>1.83</v>
      </c>
    </row>
    <row r="390" spans="385:576" x14ac:dyDescent="0.2">
      <c r="NZ390" t="s">
        <v>1467</v>
      </c>
      <c r="OA390">
        <v>1.83</v>
      </c>
    </row>
    <row r="391" spans="385:576" x14ac:dyDescent="0.2">
      <c r="OA391" t="s">
        <v>1467</v>
      </c>
      <c r="OB391">
        <v>1.83</v>
      </c>
    </row>
    <row r="392" spans="385:576" x14ac:dyDescent="0.2">
      <c r="OB392" t="s">
        <v>1467</v>
      </c>
      <c r="OC392">
        <v>1.83</v>
      </c>
    </row>
    <row r="393" spans="385:576" x14ac:dyDescent="0.2">
      <c r="OC393" t="s">
        <v>1467</v>
      </c>
      <c r="OD393">
        <v>1.83</v>
      </c>
    </row>
    <row r="394" spans="385:576" x14ac:dyDescent="0.2">
      <c r="OD394" t="s">
        <v>1467</v>
      </c>
      <c r="OE394">
        <v>1.83</v>
      </c>
    </row>
    <row r="395" spans="385:576" x14ac:dyDescent="0.2">
      <c r="OE395" t="s">
        <v>1467</v>
      </c>
      <c r="OF395">
        <v>1.83</v>
      </c>
      <c r="VD395">
        <v>4</v>
      </c>
    </row>
    <row r="396" spans="385:576" x14ac:dyDescent="0.2">
      <c r="OF396" t="s">
        <v>1467</v>
      </c>
      <c r="OG396">
        <v>1.83</v>
      </c>
    </row>
    <row r="397" spans="385:576" x14ac:dyDescent="0.2">
      <c r="OG397" t="s">
        <v>1467</v>
      </c>
      <c r="OH397">
        <v>1.83</v>
      </c>
      <c r="SM397">
        <v>4</v>
      </c>
    </row>
    <row r="398" spans="385:576" x14ac:dyDescent="0.2">
      <c r="OH398" t="s">
        <v>1467</v>
      </c>
      <c r="OI398">
        <v>1.83</v>
      </c>
    </row>
    <row r="399" spans="385:576" x14ac:dyDescent="0.2">
      <c r="OI399" t="s">
        <v>1467</v>
      </c>
      <c r="OJ399">
        <v>1.83</v>
      </c>
    </row>
    <row r="400" spans="385:576" x14ac:dyDescent="0.2">
      <c r="OJ400" t="s">
        <v>1467</v>
      </c>
      <c r="OK400">
        <v>1.83</v>
      </c>
    </row>
    <row r="401" spans="401:417" x14ac:dyDescent="0.2">
      <c r="OK401" t="s">
        <v>1467</v>
      </c>
      <c r="OL401">
        <v>1.83</v>
      </c>
    </row>
    <row r="402" spans="401:417" x14ac:dyDescent="0.2">
      <c r="OL402" t="s">
        <v>1467</v>
      </c>
      <c r="OM402">
        <v>1.83</v>
      </c>
    </row>
    <row r="403" spans="401:417" x14ac:dyDescent="0.2">
      <c r="OM403" t="s">
        <v>1467</v>
      </c>
      <c r="ON403">
        <v>1.83</v>
      </c>
    </row>
    <row r="404" spans="401:417" x14ac:dyDescent="0.2">
      <c r="ON404" t="s">
        <v>1467</v>
      </c>
      <c r="OO404">
        <v>1.83</v>
      </c>
    </row>
    <row r="405" spans="401:417" x14ac:dyDescent="0.2">
      <c r="OO405" t="s">
        <v>1467</v>
      </c>
      <c r="OP405">
        <v>1.83</v>
      </c>
    </row>
    <row r="406" spans="401:417" x14ac:dyDescent="0.2">
      <c r="OP406" t="s">
        <v>1467</v>
      </c>
      <c r="OQ406">
        <v>1.83</v>
      </c>
    </row>
    <row r="407" spans="401:417" x14ac:dyDescent="0.2">
      <c r="OQ407" t="s">
        <v>1467</v>
      </c>
      <c r="OR407">
        <v>1.83</v>
      </c>
    </row>
    <row r="408" spans="401:417" x14ac:dyDescent="0.2">
      <c r="OR408" t="s">
        <v>1467</v>
      </c>
      <c r="OS408">
        <v>1.83</v>
      </c>
    </row>
    <row r="409" spans="401:417" x14ac:dyDescent="0.2">
      <c r="OS409" t="s">
        <v>1467</v>
      </c>
      <c r="OT409">
        <v>1.83</v>
      </c>
    </row>
    <row r="410" spans="401:417" x14ac:dyDescent="0.2">
      <c r="OT410" t="s">
        <v>1467</v>
      </c>
      <c r="OU410">
        <v>1.83</v>
      </c>
    </row>
    <row r="411" spans="401:417" x14ac:dyDescent="0.2">
      <c r="OU411" t="s">
        <v>1467</v>
      </c>
      <c r="OV411">
        <v>1.83</v>
      </c>
    </row>
    <row r="412" spans="401:417" x14ac:dyDescent="0.2">
      <c r="OV412" t="s">
        <v>1467</v>
      </c>
      <c r="OW412">
        <v>1.83</v>
      </c>
    </row>
    <row r="413" spans="401:417" x14ac:dyDescent="0.2">
      <c r="OW413" t="s">
        <v>1467</v>
      </c>
      <c r="OX413">
        <v>1.83</v>
      </c>
    </row>
    <row r="414" spans="401:417" x14ac:dyDescent="0.2">
      <c r="OX414" t="s">
        <v>1467</v>
      </c>
      <c r="OY414">
        <v>1.83</v>
      </c>
    </row>
    <row r="415" spans="401:417" x14ac:dyDescent="0.2">
      <c r="OY415" t="s">
        <v>1467</v>
      </c>
      <c r="OZ415">
        <v>1.83</v>
      </c>
    </row>
    <row r="416" spans="401:417" x14ac:dyDescent="0.2">
      <c r="OZ416" t="s">
        <v>1467</v>
      </c>
      <c r="PA416">
        <v>1.83</v>
      </c>
    </row>
    <row r="417" spans="417:605" x14ac:dyDescent="0.2">
      <c r="PA417" t="s">
        <v>1467</v>
      </c>
      <c r="PB417">
        <v>1.83</v>
      </c>
    </row>
    <row r="418" spans="417:605" x14ac:dyDescent="0.2">
      <c r="PB418" t="s">
        <v>1467</v>
      </c>
      <c r="PC418">
        <v>1.83</v>
      </c>
    </row>
    <row r="419" spans="417:605" x14ac:dyDescent="0.2">
      <c r="PC419" t="s">
        <v>1467</v>
      </c>
      <c r="PD419">
        <v>1.83</v>
      </c>
    </row>
    <row r="420" spans="417:605" x14ac:dyDescent="0.2">
      <c r="PD420" t="s">
        <v>1467</v>
      </c>
    </row>
    <row r="421" spans="417:605" x14ac:dyDescent="0.2">
      <c r="PE421" t="s">
        <v>1467</v>
      </c>
      <c r="PF421">
        <v>1.96</v>
      </c>
    </row>
    <row r="422" spans="417:605" x14ac:dyDescent="0.2">
      <c r="PF422" t="s">
        <v>1467</v>
      </c>
      <c r="PG422">
        <v>1.96</v>
      </c>
    </row>
    <row r="423" spans="417:605" x14ac:dyDescent="0.2">
      <c r="PG423" t="s">
        <v>1467</v>
      </c>
      <c r="PH423">
        <v>1.96</v>
      </c>
    </row>
    <row r="424" spans="417:605" x14ac:dyDescent="0.2">
      <c r="PH424" t="s">
        <v>1467</v>
      </c>
      <c r="PI424">
        <v>1.96</v>
      </c>
    </row>
    <row r="425" spans="417:605" x14ac:dyDescent="0.2">
      <c r="PI425" t="s">
        <v>1467</v>
      </c>
      <c r="PJ425">
        <v>1.96</v>
      </c>
    </row>
    <row r="426" spans="417:605" x14ac:dyDescent="0.2">
      <c r="PJ426" t="s">
        <v>1467</v>
      </c>
      <c r="PK426">
        <v>1.96</v>
      </c>
    </row>
    <row r="427" spans="417:605" x14ac:dyDescent="0.2">
      <c r="PK427" t="s">
        <v>1467</v>
      </c>
      <c r="PL427">
        <v>1.96</v>
      </c>
    </row>
    <row r="428" spans="417:605" x14ac:dyDescent="0.2">
      <c r="PL428" t="s">
        <v>1467</v>
      </c>
      <c r="PM428">
        <v>1.96</v>
      </c>
      <c r="WG428">
        <v>7</v>
      </c>
    </row>
    <row r="429" spans="417:605" x14ac:dyDescent="0.2">
      <c r="PM429" t="s">
        <v>1467</v>
      </c>
      <c r="PN429">
        <v>1.96</v>
      </c>
    </row>
    <row r="430" spans="417:605" x14ac:dyDescent="0.2">
      <c r="PN430" t="s">
        <v>1467</v>
      </c>
      <c r="PO430">
        <v>1.96</v>
      </c>
    </row>
    <row r="431" spans="417:605" x14ac:dyDescent="0.2">
      <c r="PO431" t="s">
        <v>1467</v>
      </c>
      <c r="PP431">
        <v>1.96</v>
      </c>
    </row>
    <row r="432" spans="417:605" x14ac:dyDescent="0.2">
      <c r="PP432" t="s">
        <v>1467</v>
      </c>
      <c r="PQ432">
        <v>1.96</v>
      </c>
    </row>
    <row r="433" spans="433:449" x14ac:dyDescent="0.2">
      <c r="PQ433" t="s">
        <v>1467</v>
      </c>
      <c r="PR433">
        <v>1.96</v>
      </c>
    </row>
    <row r="434" spans="433:449" x14ac:dyDescent="0.2">
      <c r="PR434" t="s">
        <v>1467</v>
      </c>
      <c r="PS434">
        <v>1.96</v>
      </c>
    </row>
    <row r="435" spans="433:449" x14ac:dyDescent="0.2">
      <c r="PS435" t="s">
        <v>1467</v>
      </c>
      <c r="PT435">
        <v>1.96</v>
      </c>
    </row>
    <row r="436" spans="433:449" x14ac:dyDescent="0.2">
      <c r="PT436" t="s">
        <v>1467</v>
      </c>
      <c r="PU436">
        <v>1.96</v>
      </c>
    </row>
    <row r="437" spans="433:449" x14ac:dyDescent="0.2">
      <c r="PU437" t="s">
        <v>1467</v>
      </c>
      <c r="PV437">
        <v>1.96</v>
      </c>
    </row>
    <row r="438" spans="433:449" x14ac:dyDescent="0.2">
      <c r="PV438" t="s">
        <v>1467</v>
      </c>
      <c r="PW438">
        <v>1.96</v>
      </c>
    </row>
    <row r="439" spans="433:449" x14ac:dyDescent="0.2">
      <c r="PW439" t="s">
        <v>1467</v>
      </c>
      <c r="PX439">
        <v>1.96</v>
      </c>
    </row>
    <row r="440" spans="433:449" x14ac:dyDescent="0.2">
      <c r="PX440" t="s">
        <v>1467</v>
      </c>
      <c r="PY440">
        <v>1.96</v>
      </c>
    </row>
    <row r="441" spans="433:449" x14ac:dyDescent="0.2">
      <c r="PY441" t="s">
        <v>1467</v>
      </c>
      <c r="PZ441">
        <v>1.96</v>
      </c>
    </row>
    <row r="442" spans="433:449" x14ac:dyDescent="0.2">
      <c r="PZ442" t="s">
        <v>1467</v>
      </c>
      <c r="QA442">
        <v>1.96</v>
      </c>
      <c r="QD442">
        <v>4</v>
      </c>
    </row>
    <row r="443" spans="433:449" x14ac:dyDescent="0.2">
      <c r="QA443" t="s">
        <v>1467</v>
      </c>
      <c r="QB443">
        <v>1.96</v>
      </c>
    </row>
    <row r="444" spans="433:449" x14ac:dyDescent="0.2">
      <c r="QB444" t="s">
        <v>1467</v>
      </c>
      <c r="QF444">
        <v>4</v>
      </c>
    </row>
    <row r="445" spans="433:449" x14ac:dyDescent="0.2">
      <c r="QC445" t="s">
        <v>1467</v>
      </c>
      <c r="QD445">
        <v>1.75</v>
      </c>
    </row>
    <row r="446" spans="433:449" x14ac:dyDescent="0.2">
      <c r="QD446" t="s">
        <v>1467</v>
      </c>
      <c r="QE446">
        <v>1.75</v>
      </c>
    </row>
    <row r="447" spans="433:449" x14ac:dyDescent="0.2">
      <c r="QE447" t="s">
        <v>1467</v>
      </c>
      <c r="QF447">
        <v>1.75</v>
      </c>
    </row>
    <row r="448" spans="433:449" x14ac:dyDescent="0.2">
      <c r="QF448" t="s">
        <v>1467</v>
      </c>
      <c r="QG448">
        <v>1.75</v>
      </c>
    </row>
    <row r="449" spans="449:653" x14ac:dyDescent="0.2">
      <c r="QG449" t="s">
        <v>1467</v>
      </c>
      <c r="QH449">
        <v>1.75</v>
      </c>
    </row>
    <row r="450" spans="449:653" x14ac:dyDescent="0.2">
      <c r="QH450" t="s">
        <v>1467</v>
      </c>
      <c r="QI450">
        <v>1.75</v>
      </c>
    </row>
    <row r="451" spans="449:653" x14ac:dyDescent="0.2">
      <c r="QI451" t="s">
        <v>1467</v>
      </c>
      <c r="QJ451">
        <v>1.75</v>
      </c>
    </row>
    <row r="452" spans="449:653" x14ac:dyDescent="0.2">
      <c r="QJ452" t="s">
        <v>1467</v>
      </c>
      <c r="QK452">
        <v>1.75</v>
      </c>
    </row>
    <row r="453" spans="449:653" x14ac:dyDescent="0.2">
      <c r="QK453" t="s">
        <v>1467</v>
      </c>
      <c r="QL453">
        <v>1.75</v>
      </c>
    </row>
    <row r="454" spans="449:653" x14ac:dyDescent="0.2">
      <c r="QL454" t="s">
        <v>1467</v>
      </c>
      <c r="QM454">
        <v>1.75</v>
      </c>
    </row>
    <row r="455" spans="449:653" x14ac:dyDescent="0.2">
      <c r="QM455" t="s">
        <v>1467</v>
      </c>
      <c r="QN455">
        <v>1.75</v>
      </c>
    </row>
    <row r="456" spans="449:653" x14ac:dyDescent="0.2">
      <c r="QN456" t="s">
        <v>1467</v>
      </c>
      <c r="QO456">
        <v>1.75</v>
      </c>
      <c r="YC456">
        <v>7</v>
      </c>
    </row>
    <row r="457" spans="449:653" x14ac:dyDescent="0.2">
      <c r="QO457" t="s">
        <v>1467</v>
      </c>
      <c r="QP457">
        <v>1.75</v>
      </c>
    </row>
    <row r="458" spans="449:653" x14ac:dyDescent="0.2">
      <c r="QP458" t="s">
        <v>1467</v>
      </c>
      <c r="QQ458">
        <v>1.75</v>
      </c>
    </row>
    <row r="459" spans="449:653" x14ac:dyDescent="0.2">
      <c r="QQ459" t="s">
        <v>1467</v>
      </c>
      <c r="QR459">
        <v>1.75</v>
      </c>
    </row>
    <row r="460" spans="449:653" x14ac:dyDescent="0.2">
      <c r="QR460" t="s">
        <v>1467</v>
      </c>
      <c r="QS460">
        <v>1.75</v>
      </c>
    </row>
    <row r="461" spans="449:653" x14ac:dyDescent="0.2">
      <c r="QS461" t="s">
        <v>1467</v>
      </c>
      <c r="QT461">
        <v>1.75</v>
      </c>
    </row>
    <row r="462" spans="449:653" x14ac:dyDescent="0.2">
      <c r="QT462" t="s">
        <v>1467</v>
      </c>
      <c r="QU462">
        <v>1.75</v>
      </c>
    </row>
    <row r="463" spans="449:653" x14ac:dyDescent="0.2">
      <c r="QU463" t="s">
        <v>1467</v>
      </c>
      <c r="QV463">
        <v>1.75</v>
      </c>
    </row>
    <row r="464" spans="449:653" x14ac:dyDescent="0.2">
      <c r="QV464" t="s">
        <v>1467</v>
      </c>
      <c r="QW464">
        <v>1.75</v>
      </c>
    </row>
    <row r="465" spans="465:481" x14ac:dyDescent="0.2">
      <c r="QW465" t="s">
        <v>1467</v>
      </c>
      <c r="QX465">
        <v>1.75</v>
      </c>
    </row>
    <row r="466" spans="465:481" x14ac:dyDescent="0.2">
      <c r="QX466" t="s">
        <v>1467</v>
      </c>
      <c r="QY466">
        <v>1.75</v>
      </c>
    </row>
    <row r="467" spans="465:481" x14ac:dyDescent="0.2">
      <c r="QY467" t="s">
        <v>1467</v>
      </c>
      <c r="QZ467">
        <v>1.75</v>
      </c>
    </row>
    <row r="468" spans="465:481" x14ac:dyDescent="0.2">
      <c r="QZ468" t="s">
        <v>1467</v>
      </c>
      <c r="RA468">
        <v>1.75</v>
      </c>
    </row>
    <row r="469" spans="465:481" x14ac:dyDescent="0.2">
      <c r="RA469" t="s">
        <v>1467</v>
      </c>
      <c r="RB469">
        <v>4</v>
      </c>
    </row>
    <row r="470" spans="465:481" x14ac:dyDescent="0.2">
      <c r="RB470" t="s">
        <v>1467</v>
      </c>
      <c r="RC470">
        <v>2</v>
      </c>
    </row>
    <row r="471" spans="465:481" x14ac:dyDescent="0.2">
      <c r="RC471" t="s">
        <v>1467</v>
      </c>
      <c r="RD471">
        <v>2</v>
      </c>
    </row>
    <row r="472" spans="465:481" x14ac:dyDescent="0.2">
      <c r="RD472" t="s">
        <v>1467</v>
      </c>
      <c r="RE472">
        <v>2</v>
      </c>
    </row>
    <row r="473" spans="465:481" x14ac:dyDescent="0.2">
      <c r="RE473" t="s">
        <v>1467</v>
      </c>
      <c r="RF473">
        <v>2</v>
      </c>
    </row>
    <row r="474" spans="465:481" x14ac:dyDescent="0.2">
      <c r="RF474" t="s">
        <v>1467</v>
      </c>
      <c r="RG474">
        <v>2</v>
      </c>
    </row>
    <row r="475" spans="465:481" x14ac:dyDescent="0.2">
      <c r="RG475" t="s">
        <v>1467</v>
      </c>
      <c r="RH475">
        <v>2</v>
      </c>
    </row>
    <row r="476" spans="465:481" x14ac:dyDescent="0.2">
      <c r="RH476" t="s">
        <v>1467</v>
      </c>
      <c r="RI476">
        <v>2</v>
      </c>
    </row>
    <row r="477" spans="465:481" x14ac:dyDescent="0.2">
      <c r="RI477" t="s">
        <v>1467</v>
      </c>
      <c r="RJ477">
        <v>2</v>
      </c>
    </row>
    <row r="478" spans="465:481" x14ac:dyDescent="0.2">
      <c r="RJ478" t="s">
        <v>1467</v>
      </c>
      <c r="RK478">
        <v>2</v>
      </c>
    </row>
    <row r="479" spans="465:481" x14ac:dyDescent="0.2">
      <c r="RK479" t="s">
        <v>1467</v>
      </c>
      <c r="RL479">
        <v>2</v>
      </c>
    </row>
    <row r="480" spans="465:481" x14ac:dyDescent="0.2">
      <c r="RL480" t="s">
        <v>1467</v>
      </c>
      <c r="RM480">
        <v>2</v>
      </c>
    </row>
    <row r="481" spans="481:497" x14ac:dyDescent="0.2">
      <c r="RM481" t="s">
        <v>1467</v>
      </c>
      <c r="RN481">
        <v>2</v>
      </c>
    </row>
    <row r="482" spans="481:497" x14ac:dyDescent="0.2">
      <c r="RN482" t="s">
        <v>1467</v>
      </c>
      <c r="RO482">
        <v>2</v>
      </c>
    </row>
    <row r="483" spans="481:497" x14ac:dyDescent="0.2">
      <c r="RO483" t="s">
        <v>1467</v>
      </c>
      <c r="RP483">
        <v>2</v>
      </c>
    </row>
    <row r="484" spans="481:497" x14ac:dyDescent="0.2">
      <c r="RP484" t="s">
        <v>1467</v>
      </c>
      <c r="RQ484">
        <v>2</v>
      </c>
    </row>
    <row r="485" spans="481:497" x14ac:dyDescent="0.2">
      <c r="RQ485" t="s">
        <v>1467</v>
      </c>
      <c r="RR485">
        <v>2</v>
      </c>
    </row>
    <row r="486" spans="481:497" x14ac:dyDescent="0.2">
      <c r="RR486" t="s">
        <v>1467</v>
      </c>
      <c r="RS486">
        <v>2</v>
      </c>
    </row>
    <row r="487" spans="481:497" x14ac:dyDescent="0.2">
      <c r="RS487" t="s">
        <v>1467</v>
      </c>
      <c r="RT487">
        <v>2</v>
      </c>
    </row>
    <row r="488" spans="481:497" x14ac:dyDescent="0.2">
      <c r="RT488" t="s">
        <v>1467</v>
      </c>
      <c r="RU488">
        <v>2</v>
      </c>
    </row>
    <row r="489" spans="481:497" x14ac:dyDescent="0.2">
      <c r="RU489" t="s">
        <v>1467</v>
      </c>
      <c r="RV489">
        <v>2</v>
      </c>
    </row>
    <row r="490" spans="481:497" x14ac:dyDescent="0.2">
      <c r="RV490" t="s">
        <v>1467</v>
      </c>
      <c r="RW490">
        <v>2</v>
      </c>
    </row>
    <row r="491" spans="481:497" x14ac:dyDescent="0.2">
      <c r="RW491" t="s">
        <v>1467</v>
      </c>
      <c r="RX491">
        <v>2</v>
      </c>
    </row>
    <row r="492" spans="481:497" x14ac:dyDescent="0.2">
      <c r="RX492" t="s">
        <v>1467</v>
      </c>
      <c r="RY492">
        <v>2</v>
      </c>
    </row>
    <row r="493" spans="481:497" x14ac:dyDescent="0.2">
      <c r="RY493" t="s">
        <v>1467</v>
      </c>
      <c r="RZ493">
        <v>2</v>
      </c>
    </row>
    <row r="494" spans="481:497" x14ac:dyDescent="0.2">
      <c r="RZ494" t="s">
        <v>1467</v>
      </c>
      <c r="SA494">
        <v>2</v>
      </c>
    </row>
    <row r="495" spans="481:497" x14ac:dyDescent="0.2">
      <c r="SA495" t="s">
        <v>1467</v>
      </c>
    </row>
    <row r="496" spans="481:497" x14ac:dyDescent="0.2">
      <c r="SB496" t="s">
        <v>1467</v>
      </c>
      <c r="SC496">
        <v>2</v>
      </c>
    </row>
    <row r="497" spans="497:641" x14ac:dyDescent="0.2">
      <c r="SC497" t="s">
        <v>1467</v>
      </c>
      <c r="SD497">
        <v>2</v>
      </c>
    </row>
    <row r="498" spans="497:641" x14ac:dyDescent="0.2">
      <c r="SD498" t="s">
        <v>1467</v>
      </c>
      <c r="SE498">
        <v>2</v>
      </c>
    </row>
    <row r="499" spans="497:641" x14ac:dyDescent="0.2">
      <c r="SE499" t="s">
        <v>1467</v>
      </c>
      <c r="SF499">
        <v>2</v>
      </c>
    </row>
    <row r="500" spans="497:641" x14ac:dyDescent="0.2">
      <c r="SF500" t="s">
        <v>1467</v>
      </c>
      <c r="SG500">
        <v>2</v>
      </c>
    </row>
    <row r="501" spans="497:641" x14ac:dyDescent="0.2">
      <c r="SG501" t="s">
        <v>1467</v>
      </c>
      <c r="SH501">
        <v>2</v>
      </c>
    </row>
    <row r="502" spans="497:641" x14ac:dyDescent="0.2">
      <c r="SH502" t="s">
        <v>1467</v>
      </c>
      <c r="SI502">
        <v>2</v>
      </c>
    </row>
    <row r="503" spans="497:641" x14ac:dyDescent="0.2">
      <c r="SI503" t="s">
        <v>1467</v>
      </c>
      <c r="SJ503">
        <v>2</v>
      </c>
    </row>
    <row r="504" spans="497:641" x14ac:dyDescent="0.2">
      <c r="SJ504" t="s">
        <v>1467</v>
      </c>
      <c r="SK504">
        <v>2</v>
      </c>
    </row>
    <row r="505" spans="497:641" x14ac:dyDescent="0.2">
      <c r="SK505" t="s">
        <v>1467</v>
      </c>
      <c r="SL505">
        <v>2</v>
      </c>
    </row>
    <row r="506" spans="497:641" x14ac:dyDescent="0.2">
      <c r="SL506" t="s">
        <v>1467</v>
      </c>
      <c r="XQ506">
        <v>7</v>
      </c>
    </row>
    <row r="507" spans="497:641" x14ac:dyDescent="0.2">
      <c r="SM507" t="s">
        <v>1467</v>
      </c>
      <c r="SN507">
        <v>1.47</v>
      </c>
    </row>
    <row r="508" spans="497:641" x14ac:dyDescent="0.2">
      <c r="SN508" t="s">
        <v>1467</v>
      </c>
      <c r="SO508">
        <v>1.47</v>
      </c>
    </row>
    <row r="509" spans="497:641" x14ac:dyDescent="0.2">
      <c r="SO509" t="s">
        <v>1467</v>
      </c>
      <c r="SP509">
        <v>1.47</v>
      </c>
    </row>
    <row r="510" spans="497:641" x14ac:dyDescent="0.2">
      <c r="SP510" t="s">
        <v>1467</v>
      </c>
      <c r="SQ510">
        <v>1.47</v>
      </c>
    </row>
    <row r="511" spans="497:641" x14ac:dyDescent="0.2">
      <c r="SQ511" t="s">
        <v>1467</v>
      </c>
      <c r="SR511">
        <v>1.47</v>
      </c>
    </row>
    <row r="512" spans="497:641" x14ac:dyDescent="0.2">
      <c r="SR512" t="s">
        <v>1467</v>
      </c>
      <c r="SS512">
        <v>1.47</v>
      </c>
    </row>
    <row r="513" spans="513:529" x14ac:dyDescent="0.2">
      <c r="SS513" t="s">
        <v>1467</v>
      </c>
      <c r="ST513">
        <v>1.47</v>
      </c>
    </row>
    <row r="514" spans="513:529" x14ac:dyDescent="0.2">
      <c r="ST514" t="s">
        <v>1467</v>
      </c>
      <c r="SU514">
        <v>1.47</v>
      </c>
    </row>
    <row r="515" spans="513:529" x14ac:dyDescent="0.2">
      <c r="SU515" t="s">
        <v>1467</v>
      </c>
      <c r="SV515">
        <v>1.47</v>
      </c>
    </row>
    <row r="516" spans="513:529" x14ac:dyDescent="0.2">
      <c r="SV516" t="s">
        <v>1467</v>
      </c>
      <c r="SW516">
        <v>1.47</v>
      </c>
    </row>
    <row r="517" spans="513:529" x14ac:dyDescent="0.2">
      <c r="SW517" t="s">
        <v>1467</v>
      </c>
      <c r="SX517">
        <v>1.47</v>
      </c>
    </row>
    <row r="518" spans="513:529" x14ac:dyDescent="0.2">
      <c r="SX518" t="s">
        <v>1467</v>
      </c>
      <c r="SY518">
        <v>1.47</v>
      </c>
    </row>
    <row r="519" spans="513:529" x14ac:dyDescent="0.2">
      <c r="SY519" t="s">
        <v>1467</v>
      </c>
      <c r="SZ519">
        <v>1.47</v>
      </c>
    </row>
    <row r="520" spans="513:529" x14ac:dyDescent="0.2">
      <c r="SZ520" t="s">
        <v>1467</v>
      </c>
      <c r="TA520">
        <v>1.47</v>
      </c>
    </row>
    <row r="521" spans="513:529" x14ac:dyDescent="0.2">
      <c r="TA521" t="s">
        <v>1467</v>
      </c>
      <c r="TB521">
        <v>1.47</v>
      </c>
    </row>
    <row r="522" spans="513:529" x14ac:dyDescent="0.2">
      <c r="TB522" t="s">
        <v>1467</v>
      </c>
    </row>
    <row r="523" spans="513:529" x14ac:dyDescent="0.2">
      <c r="TC523" t="s">
        <v>1467</v>
      </c>
      <c r="TD523">
        <v>2</v>
      </c>
    </row>
    <row r="524" spans="513:529" x14ac:dyDescent="0.2">
      <c r="TD524" t="s">
        <v>1467</v>
      </c>
      <c r="TE524">
        <v>2</v>
      </c>
    </row>
    <row r="525" spans="513:529" x14ac:dyDescent="0.2">
      <c r="TE525" t="s">
        <v>1467</v>
      </c>
      <c r="TF525">
        <v>2</v>
      </c>
    </row>
    <row r="526" spans="513:529" x14ac:dyDescent="0.2">
      <c r="TF526" t="s">
        <v>1467</v>
      </c>
      <c r="TG526">
        <v>2</v>
      </c>
    </row>
    <row r="527" spans="513:529" x14ac:dyDescent="0.2">
      <c r="TG527" t="s">
        <v>1467</v>
      </c>
      <c r="TH527">
        <v>2</v>
      </c>
    </row>
    <row r="528" spans="513:529" x14ac:dyDescent="0.2">
      <c r="TH528" t="s">
        <v>1467</v>
      </c>
      <c r="TI528">
        <v>2</v>
      </c>
    </row>
    <row r="529" spans="529:545" x14ac:dyDescent="0.2">
      <c r="TI529" t="s">
        <v>1467</v>
      </c>
      <c r="TJ529">
        <v>2</v>
      </c>
    </row>
    <row r="530" spans="529:545" x14ac:dyDescent="0.2">
      <c r="TJ530" t="s">
        <v>1467</v>
      </c>
      <c r="TK530">
        <v>2</v>
      </c>
    </row>
    <row r="531" spans="529:545" x14ac:dyDescent="0.2">
      <c r="TK531" t="s">
        <v>1467</v>
      </c>
      <c r="TL531">
        <v>2</v>
      </c>
    </row>
    <row r="532" spans="529:545" x14ac:dyDescent="0.2">
      <c r="TL532" t="s">
        <v>1467</v>
      </c>
      <c r="TM532">
        <v>2</v>
      </c>
    </row>
    <row r="533" spans="529:545" x14ac:dyDescent="0.2">
      <c r="TM533" t="s">
        <v>1467</v>
      </c>
      <c r="TN533">
        <v>2</v>
      </c>
    </row>
    <row r="534" spans="529:545" x14ac:dyDescent="0.2">
      <c r="TN534" t="s">
        <v>1467</v>
      </c>
      <c r="TO534">
        <v>2</v>
      </c>
    </row>
    <row r="535" spans="529:545" x14ac:dyDescent="0.2">
      <c r="TO535" t="s">
        <v>1467</v>
      </c>
      <c r="TP535">
        <v>2</v>
      </c>
    </row>
    <row r="536" spans="529:545" x14ac:dyDescent="0.2">
      <c r="TP536" t="s">
        <v>1467</v>
      </c>
      <c r="TQ536">
        <v>2</v>
      </c>
    </row>
    <row r="537" spans="529:545" x14ac:dyDescent="0.2">
      <c r="TQ537" t="s">
        <v>1467</v>
      </c>
      <c r="TR537">
        <v>2</v>
      </c>
    </row>
    <row r="538" spans="529:545" x14ac:dyDescent="0.2">
      <c r="TR538" t="s">
        <v>1467</v>
      </c>
      <c r="TS538">
        <v>2</v>
      </c>
    </row>
    <row r="539" spans="529:545" x14ac:dyDescent="0.2">
      <c r="TS539" t="s">
        <v>1467</v>
      </c>
      <c r="TT539">
        <v>2</v>
      </c>
    </row>
    <row r="540" spans="529:545" x14ac:dyDescent="0.2">
      <c r="TT540" t="s">
        <v>1467</v>
      </c>
      <c r="TU540">
        <v>2</v>
      </c>
    </row>
    <row r="541" spans="529:545" x14ac:dyDescent="0.2">
      <c r="TU541" t="s">
        <v>1467</v>
      </c>
      <c r="TV541">
        <v>2</v>
      </c>
    </row>
    <row r="542" spans="529:545" x14ac:dyDescent="0.2">
      <c r="TV542" t="s">
        <v>1467</v>
      </c>
      <c r="TW542">
        <v>2</v>
      </c>
    </row>
    <row r="543" spans="529:545" x14ac:dyDescent="0.2">
      <c r="TW543" t="s">
        <v>1467</v>
      </c>
    </row>
    <row r="544" spans="529:545" x14ac:dyDescent="0.2">
      <c r="TX544" t="s">
        <v>1467</v>
      </c>
      <c r="TY544">
        <v>1.82</v>
      </c>
    </row>
    <row r="545" spans="545:561" x14ac:dyDescent="0.2">
      <c r="TY545" t="s">
        <v>1467</v>
      </c>
      <c r="TZ545">
        <v>1.82</v>
      </c>
    </row>
    <row r="546" spans="545:561" x14ac:dyDescent="0.2">
      <c r="TZ546" t="s">
        <v>1467</v>
      </c>
      <c r="UA546">
        <v>1.82</v>
      </c>
    </row>
    <row r="547" spans="545:561" x14ac:dyDescent="0.2">
      <c r="UA547" t="s">
        <v>1467</v>
      </c>
      <c r="UB547">
        <v>1.82</v>
      </c>
    </row>
    <row r="548" spans="545:561" x14ac:dyDescent="0.2">
      <c r="UB548" t="s">
        <v>1467</v>
      </c>
      <c r="UC548">
        <v>1.82</v>
      </c>
    </row>
    <row r="549" spans="545:561" x14ac:dyDescent="0.2">
      <c r="UC549" t="s">
        <v>1467</v>
      </c>
      <c r="UD549">
        <v>1.82</v>
      </c>
    </row>
    <row r="550" spans="545:561" x14ac:dyDescent="0.2">
      <c r="UD550" t="s">
        <v>1467</v>
      </c>
      <c r="UE550">
        <v>1.82</v>
      </c>
    </row>
    <row r="551" spans="545:561" x14ac:dyDescent="0.2">
      <c r="UE551" t="s">
        <v>1467</v>
      </c>
      <c r="UF551">
        <v>1.82</v>
      </c>
    </row>
    <row r="552" spans="545:561" x14ac:dyDescent="0.2">
      <c r="UF552" t="s">
        <v>1467</v>
      </c>
      <c r="UG552">
        <v>1.82</v>
      </c>
    </row>
    <row r="553" spans="545:561" x14ac:dyDescent="0.2">
      <c r="UG553" t="s">
        <v>1467</v>
      </c>
      <c r="UH553">
        <v>1.82</v>
      </c>
    </row>
    <row r="554" spans="545:561" x14ac:dyDescent="0.2">
      <c r="UH554" t="s">
        <v>1467</v>
      </c>
      <c r="UI554">
        <v>1.82</v>
      </c>
    </row>
    <row r="555" spans="545:561" x14ac:dyDescent="0.2">
      <c r="UI555" t="s">
        <v>1467</v>
      </c>
      <c r="UJ555">
        <v>1.82</v>
      </c>
    </row>
    <row r="556" spans="545:561" x14ac:dyDescent="0.2">
      <c r="UJ556" t="s">
        <v>1467</v>
      </c>
      <c r="UK556">
        <v>1.82</v>
      </c>
    </row>
    <row r="557" spans="545:561" x14ac:dyDescent="0.2">
      <c r="UK557" t="s">
        <v>1467</v>
      </c>
      <c r="UL557">
        <v>1.82</v>
      </c>
    </row>
    <row r="558" spans="545:561" x14ac:dyDescent="0.2">
      <c r="UL558" t="s">
        <v>1467</v>
      </c>
      <c r="UM558">
        <v>1.82</v>
      </c>
    </row>
    <row r="559" spans="545:561" x14ac:dyDescent="0.2">
      <c r="UM559" t="s">
        <v>1467</v>
      </c>
      <c r="UN559">
        <v>1.82</v>
      </c>
    </row>
    <row r="560" spans="545:561" x14ac:dyDescent="0.2">
      <c r="UN560" t="s">
        <v>1467</v>
      </c>
      <c r="UO560">
        <v>1.82</v>
      </c>
    </row>
    <row r="561" spans="561:581" x14ac:dyDescent="0.2">
      <c r="UO561" t="s">
        <v>1467</v>
      </c>
    </row>
    <row r="562" spans="561:581" x14ac:dyDescent="0.2">
      <c r="UP562" t="s">
        <v>1467</v>
      </c>
      <c r="UQ562">
        <v>2</v>
      </c>
    </row>
    <row r="563" spans="561:581" x14ac:dyDescent="0.2">
      <c r="UQ563" t="s">
        <v>1467</v>
      </c>
      <c r="UR563">
        <v>2</v>
      </c>
      <c r="VG563">
        <v>4</v>
      </c>
    </row>
    <row r="564" spans="561:581" x14ac:dyDescent="0.2">
      <c r="UR564" t="s">
        <v>1467</v>
      </c>
      <c r="US564">
        <v>2</v>
      </c>
    </row>
    <row r="565" spans="561:581" x14ac:dyDescent="0.2">
      <c r="US565" t="s">
        <v>1467</v>
      </c>
      <c r="UT565">
        <v>2</v>
      </c>
    </row>
    <row r="566" spans="561:581" x14ac:dyDescent="0.2">
      <c r="UT566" t="s">
        <v>1467</v>
      </c>
      <c r="UU566">
        <v>2</v>
      </c>
    </row>
    <row r="567" spans="561:581" x14ac:dyDescent="0.2">
      <c r="UU567" t="s">
        <v>1467</v>
      </c>
      <c r="UV567">
        <v>2</v>
      </c>
    </row>
    <row r="568" spans="561:581" x14ac:dyDescent="0.2">
      <c r="UV568" t="s">
        <v>1467</v>
      </c>
      <c r="UW568">
        <v>2</v>
      </c>
    </row>
    <row r="569" spans="561:581" x14ac:dyDescent="0.2">
      <c r="UW569" t="s">
        <v>1467</v>
      </c>
      <c r="UX569">
        <v>2</v>
      </c>
    </row>
    <row r="570" spans="561:581" x14ac:dyDescent="0.2">
      <c r="UX570" t="s">
        <v>1467</v>
      </c>
      <c r="VB570">
        <v>2</v>
      </c>
      <c r="VC570">
        <v>2</v>
      </c>
    </row>
    <row r="571" spans="561:581" x14ac:dyDescent="0.2">
      <c r="UY571" t="s">
        <v>1467</v>
      </c>
      <c r="UZ571">
        <v>2</v>
      </c>
      <c r="VD571">
        <v>2</v>
      </c>
      <c r="VI571">
        <v>4</v>
      </c>
    </row>
    <row r="572" spans="561:581" x14ac:dyDescent="0.2">
      <c r="UZ572" t="s">
        <v>1467</v>
      </c>
      <c r="VA572">
        <v>2</v>
      </c>
      <c r="VE572">
        <v>2</v>
      </c>
    </row>
    <row r="573" spans="561:581" x14ac:dyDescent="0.2">
      <c r="VA573" t="s">
        <v>1467</v>
      </c>
      <c r="VB573">
        <v>2</v>
      </c>
    </row>
    <row r="574" spans="561:581" x14ac:dyDescent="0.2">
      <c r="VB574" t="s">
        <v>1467</v>
      </c>
    </row>
    <row r="575" spans="561:581" x14ac:dyDescent="0.2">
      <c r="VC575" t="s">
        <v>1467</v>
      </c>
      <c r="VD575">
        <v>2</v>
      </c>
    </row>
    <row r="576" spans="561:581" x14ac:dyDescent="0.2">
      <c r="VD576" t="s">
        <v>1467</v>
      </c>
      <c r="VE576">
        <v>2</v>
      </c>
    </row>
    <row r="577" spans="577:644" x14ac:dyDescent="0.2">
      <c r="VE577" t="s">
        <v>1467</v>
      </c>
      <c r="VF577">
        <v>2</v>
      </c>
    </row>
    <row r="578" spans="577:644" x14ac:dyDescent="0.2">
      <c r="VF578" t="s">
        <v>1467</v>
      </c>
    </row>
    <row r="579" spans="577:644" x14ac:dyDescent="0.2">
      <c r="VG579" t="s">
        <v>1467</v>
      </c>
      <c r="VH579">
        <v>2.5</v>
      </c>
    </row>
    <row r="580" spans="577:644" x14ac:dyDescent="0.2">
      <c r="VH580" t="s">
        <v>1467</v>
      </c>
      <c r="VI580">
        <v>2.5</v>
      </c>
    </row>
    <row r="581" spans="577:644" x14ac:dyDescent="0.2">
      <c r="VI581" t="s">
        <v>1467</v>
      </c>
      <c r="VJ581">
        <v>2.5</v>
      </c>
    </row>
    <row r="582" spans="577:644" x14ac:dyDescent="0.2">
      <c r="VJ582" t="s">
        <v>1467</v>
      </c>
      <c r="VK582">
        <v>2.5</v>
      </c>
    </row>
    <row r="583" spans="577:644" x14ac:dyDescent="0.2">
      <c r="VK583" t="s">
        <v>1467</v>
      </c>
      <c r="VL583">
        <v>2.5</v>
      </c>
    </row>
    <row r="584" spans="577:644" x14ac:dyDescent="0.2">
      <c r="VL584" t="s">
        <v>1467</v>
      </c>
      <c r="VM584">
        <v>2.5</v>
      </c>
    </row>
    <row r="585" spans="577:644" x14ac:dyDescent="0.2">
      <c r="VM585" t="s">
        <v>1467</v>
      </c>
      <c r="XT585">
        <v>7</v>
      </c>
    </row>
    <row r="586" spans="577:644" x14ac:dyDescent="0.2">
      <c r="VN586" t="s">
        <v>1467</v>
      </c>
      <c r="VO586">
        <v>3.11</v>
      </c>
    </row>
    <row r="587" spans="577:644" x14ac:dyDescent="0.2">
      <c r="VO587" t="s">
        <v>1467</v>
      </c>
      <c r="VP587">
        <v>3.11</v>
      </c>
    </row>
    <row r="588" spans="577:644" x14ac:dyDescent="0.2">
      <c r="VP588" t="s">
        <v>1467</v>
      </c>
      <c r="VQ588">
        <v>3.11</v>
      </c>
    </row>
    <row r="589" spans="577:644" x14ac:dyDescent="0.2">
      <c r="VQ589" t="s">
        <v>1467</v>
      </c>
      <c r="VR589">
        <v>3.11</v>
      </c>
    </row>
    <row r="590" spans="577:644" x14ac:dyDescent="0.2">
      <c r="VR590" t="s">
        <v>1467</v>
      </c>
      <c r="VS590">
        <v>3.11</v>
      </c>
    </row>
    <row r="591" spans="577:644" x14ac:dyDescent="0.2">
      <c r="VS591" t="s">
        <v>1467</v>
      </c>
      <c r="VV591">
        <v>3.11</v>
      </c>
    </row>
    <row r="592" spans="577:644" x14ac:dyDescent="0.2">
      <c r="VT592" t="s">
        <v>1467</v>
      </c>
      <c r="VU592">
        <v>3.11</v>
      </c>
    </row>
    <row r="593" spans="593:648" x14ac:dyDescent="0.2">
      <c r="VU593" t="s">
        <v>1467</v>
      </c>
      <c r="VV593">
        <v>3.11</v>
      </c>
    </row>
    <row r="594" spans="593:648" x14ac:dyDescent="0.2">
      <c r="VV594" t="s">
        <v>1467</v>
      </c>
      <c r="VW594">
        <v>3.11</v>
      </c>
    </row>
    <row r="595" spans="593:648" x14ac:dyDescent="0.2">
      <c r="VW595" t="s">
        <v>1467</v>
      </c>
      <c r="VX595">
        <v>3.11</v>
      </c>
    </row>
    <row r="596" spans="593:648" x14ac:dyDescent="0.2">
      <c r="VX596" t="s">
        <v>1467</v>
      </c>
      <c r="WF596">
        <v>3.11</v>
      </c>
    </row>
    <row r="597" spans="593:648" x14ac:dyDescent="0.2">
      <c r="VY597" t="s">
        <v>1467</v>
      </c>
      <c r="VZ597">
        <v>3.11</v>
      </c>
    </row>
    <row r="598" spans="593:648" x14ac:dyDescent="0.2">
      <c r="VZ598" t="s">
        <v>1467</v>
      </c>
      <c r="WA598">
        <v>3.11</v>
      </c>
    </row>
    <row r="599" spans="593:648" x14ac:dyDescent="0.2">
      <c r="WA599" t="s">
        <v>1467</v>
      </c>
      <c r="WB599">
        <v>3.11</v>
      </c>
    </row>
    <row r="600" spans="593:648" x14ac:dyDescent="0.2">
      <c r="WB600" t="s">
        <v>1467</v>
      </c>
      <c r="WC600">
        <v>3.11</v>
      </c>
    </row>
    <row r="601" spans="593:648" x14ac:dyDescent="0.2">
      <c r="WC601" t="s">
        <v>1467</v>
      </c>
      <c r="WD601">
        <v>3.11</v>
      </c>
    </row>
    <row r="602" spans="593:648" x14ac:dyDescent="0.2">
      <c r="WD602" t="s">
        <v>1467</v>
      </c>
      <c r="WE602">
        <v>3.11</v>
      </c>
    </row>
    <row r="603" spans="593:648" x14ac:dyDescent="0.2">
      <c r="WE603" t="s">
        <v>1467</v>
      </c>
      <c r="WF603">
        <v>3.11</v>
      </c>
    </row>
    <row r="604" spans="593:648" x14ac:dyDescent="0.2">
      <c r="WF604" t="s">
        <v>1467</v>
      </c>
      <c r="WG604">
        <v>3.11</v>
      </c>
    </row>
    <row r="605" spans="593:648" x14ac:dyDescent="0.2">
      <c r="WG605" t="s">
        <v>1467</v>
      </c>
      <c r="WH605">
        <v>3.11</v>
      </c>
    </row>
    <row r="606" spans="593:648" x14ac:dyDescent="0.2">
      <c r="WH606" t="s">
        <v>1467</v>
      </c>
      <c r="WI606">
        <v>3.11</v>
      </c>
    </row>
    <row r="607" spans="593:648" x14ac:dyDescent="0.2">
      <c r="WI607" t="s">
        <v>1467</v>
      </c>
      <c r="WJ607">
        <v>3.11</v>
      </c>
    </row>
    <row r="608" spans="593:648" x14ac:dyDescent="0.2">
      <c r="WJ608" t="s">
        <v>1467</v>
      </c>
      <c r="WK608">
        <v>3.11</v>
      </c>
      <c r="XX608">
        <v>4</v>
      </c>
    </row>
    <row r="609" spans="609:625" x14ac:dyDescent="0.2">
      <c r="WK609" t="s">
        <v>1467</v>
      </c>
      <c r="WL609">
        <v>3.11</v>
      </c>
    </row>
    <row r="610" spans="609:625" x14ac:dyDescent="0.2">
      <c r="WL610" t="s">
        <v>1467</v>
      </c>
      <c r="WM610">
        <v>3.11</v>
      </c>
    </row>
    <row r="611" spans="609:625" x14ac:dyDescent="0.2">
      <c r="WM611" t="s">
        <v>1467</v>
      </c>
      <c r="WN611">
        <v>3.11</v>
      </c>
      <c r="WY611">
        <v>3.11</v>
      </c>
    </row>
    <row r="612" spans="609:625" x14ac:dyDescent="0.2">
      <c r="WN612" t="s">
        <v>1467</v>
      </c>
      <c r="WO612">
        <v>3.11</v>
      </c>
    </row>
    <row r="613" spans="609:625" x14ac:dyDescent="0.2">
      <c r="WO613" t="s">
        <v>1467</v>
      </c>
      <c r="WP613">
        <v>3.11</v>
      </c>
    </row>
    <row r="614" spans="609:625" x14ac:dyDescent="0.2">
      <c r="WP614" t="s">
        <v>1467</v>
      </c>
      <c r="WQ614">
        <v>3.11</v>
      </c>
    </row>
    <row r="615" spans="609:625" x14ac:dyDescent="0.2">
      <c r="WQ615" t="s">
        <v>1467</v>
      </c>
      <c r="WR615">
        <v>3.11</v>
      </c>
    </row>
    <row r="616" spans="609:625" x14ac:dyDescent="0.2">
      <c r="WR616" t="s">
        <v>1467</v>
      </c>
      <c r="WS616">
        <v>3.11</v>
      </c>
    </row>
    <row r="617" spans="609:625" x14ac:dyDescent="0.2">
      <c r="WS617" t="s">
        <v>1467</v>
      </c>
      <c r="WT617">
        <v>3.11</v>
      </c>
    </row>
    <row r="618" spans="609:625" x14ac:dyDescent="0.2">
      <c r="WT618" t="s">
        <v>1467</v>
      </c>
      <c r="WU618">
        <v>3.11</v>
      </c>
    </row>
    <row r="619" spans="609:625" x14ac:dyDescent="0.2">
      <c r="WU619" t="s">
        <v>1467</v>
      </c>
      <c r="WV619">
        <v>3.11</v>
      </c>
    </row>
    <row r="620" spans="609:625" x14ac:dyDescent="0.2">
      <c r="WV620" t="s">
        <v>1467</v>
      </c>
      <c r="WW620">
        <v>3.11</v>
      </c>
    </row>
    <row r="621" spans="609:625" x14ac:dyDescent="0.2">
      <c r="WW621" t="s">
        <v>1467</v>
      </c>
      <c r="WX621">
        <v>3.11</v>
      </c>
    </row>
    <row r="622" spans="609:625" x14ac:dyDescent="0.2">
      <c r="WX622" t="s">
        <v>1467</v>
      </c>
    </row>
    <row r="623" spans="609:625" x14ac:dyDescent="0.2">
      <c r="WY623" t="s">
        <v>1467</v>
      </c>
      <c r="WZ623">
        <v>3.11</v>
      </c>
    </row>
    <row r="624" spans="609:625" x14ac:dyDescent="0.2">
      <c r="WZ624" t="s">
        <v>1467</v>
      </c>
      <c r="XA624">
        <v>3.11</v>
      </c>
    </row>
    <row r="625" spans="625:641" x14ac:dyDescent="0.2">
      <c r="XA625" t="s">
        <v>1467</v>
      </c>
      <c r="XB625">
        <v>3.11</v>
      </c>
    </row>
    <row r="626" spans="625:641" x14ac:dyDescent="0.2">
      <c r="XB626" t="s">
        <v>1467</v>
      </c>
      <c r="XC626">
        <v>3.11</v>
      </c>
    </row>
    <row r="627" spans="625:641" x14ac:dyDescent="0.2">
      <c r="XC627" t="s">
        <v>1467</v>
      </c>
      <c r="XD627">
        <v>3.11</v>
      </c>
    </row>
    <row r="628" spans="625:641" x14ac:dyDescent="0.2">
      <c r="XD628" t="s">
        <v>1467</v>
      </c>
      <c r="XE628">
        <v>3.11</v>
      </c>
    </row>
    <row r="629" spans="625:641" x14ac:dyDescent="0.2">
      <c r="XE629" t="s">
        <v>1467</v>
      </c>
      <c r="XF629">
        <v>3.11</v>
      </c>
    </row>
    <row r="630" spans="625:641" x14ac:dyDescent="0.2">
      <c r="XF630" t="s">
        <v>1467</v>
      </c>
      <c r="XG630">
        <v>3.11</v>
      </c>
    </row>
    <row r="631" spans="625:641" x14ac:dyDescent="0.2">
      <c r="XG631" t="s">
        <v>1467</v>
      </c>
    </row>
    <row r="632" spans="625:641" x14ac:dyDescent="0.2">
      <c r="XH632" t="s">
        <v>1467</v>
      </c>
      <c r="XI632">
        <v>2.78</v>
      </c>
    </row>
    <row r="633" spans="625:641" x14ac:dyDescent="0.2">
      <c r="XI633" t="s">
        <v>1467</v>
      </c>
      <c r="XJ633">
        <v>2.78</v>
      </c>
    </row>
    <row r="634" spans="625:641" x14ac:dyDescent="0.2">
      <c r="XJ634" t="s">
        <v>1467</v>
      </c>
      <c r="XK634">
        <v>2.78</v>
      </c>
    </row>
    <row r="635" spans="625:641" x14ac:dyDescent="0.2">
      <c r="XK635" t="s">
        <v>1467</v>
      </c>
      <c r="XL635">
        <v>2.78</v>
      </c>
    </row>
    <row r="636" spans="625:641" x14ac:dyDescent="0.2">
      <c r="XL636" t="s">
        <v>1467</v>
      </c>
      <c r="XQ636">
        <v>2.78</v>
      </c>
    </row>
    <row r="637" spans="625:641" x14ac:dyDescent="0.2">
      <c r="XM637" t="s">
        <v>1467</v>
      </c>
      <c r="XN637">
        <v>2.78</v>
      </c>
    </row>
    <row r="638" spans="625:641" x14ac:dyDescent="0.2">
      <c r="XN638" t="s">
        <v>1467</v>
      </c>
      <c r="XO638">
        <v>2.78</v>
      </c>
    </row>
    <row r="639" spans="625:641" x14ac:dyDescent="0.2">
      <c r="XO639" t="s">
        <v>1467</v>
      </c>
      <c r="XP639">
        <v>2.78</v>
      </c>
    </row>
    <row r="640" spans="625:641" x14ac:dyDescent="0.2">
      <c r="XP640" t="s">
        <v>1467</v>
      </c>
      <c r="XQ640">
        <v>2.78</v>
      </c>
    </row>
    <row r="641" spans="641:657" x14ac:dyDescent="0.2">
      <c r="XQ641" t="s">
        <v>1467</v>
      </c>
      <c r="XR641">
        <v>2.78</v>
      </c>
    </row>
    <row r="642" spans="641:657" x14ac:dyDescent="0.2">
      <c r="XR642" t="s">
        <v>1467</v>
      </c>
      <c r="XS642">
        <v>2.78</v>
      </c>
    </row>
    <row r="643" spans="641:657" x14ac:dyDescent="0.2">
      <c r="XS643" t="s">
        <v>1467</v>
      </c>
      <c r="XT643">
        <v>2.78</v>
      </c>
    </row>
    <row r="644" spans="641:657" x14ac:dyDescent="0.2">
      <c r="XT644" t="s">
        <v>1467</v>
      </c>
      <c r="XU644">
        <v>2.78</v>
      </c>
    </row>
    <row r="645" spans="641:657" x14ac:dyDescent="0.2">
      <c r="XU645" t="s">
        <v>1467</v>
      </c>
      <c r="XV645">
        <v>2.78</v>
      </c>
    </row>
    <row r="646" spans="641:657" x14ac:dyDescent="0.2">
      <c r="XV646" t="s">
        <v>1467</v>
      </c>
      <c r="XW646">
        <v>2.78</v>
      </c>
    </row>
    <row r="647" spans="641:657" x14ac:dyDescent="0.2">
      <c r="XW647" t="s">
        <v>1467</v>
      </c>
      <c r="XX647">
        <v>2.78</v>
      </c>
    </row>
    <row r="648" spans="641:657" x14ac:dyDescent="0.2">
      <c r="XX648" t="s">
        <v>1467</v>
      </c>
      <c r="XY648">
        <v>2.78</v>
      </c>
    </row>
    <row r="649" spans="641:657" x14ac:dyDescent="0.2">
      <c r="XY649" t="s">
        <v>1467</v>
      </c>
      <c r="XZ649">
        <v>2.78</v>
      </c>
    </row>
    <row r="650" spans="641:657" x14ac:dyDescent="0.2">
      <c r="XZ650" t="s">
        <v>1467</v>
      </c>
      <c r="YA650">
        <v>2.78</v>
      </c>
    </row>
    <row r="651" spans="641:657" x14ac:dyDescent="0.2">
      <c r="YA651" t="s">
        <v>1467</v>
      </c>
      <c r="YB651">
        <v>2.78</v>
      </c>
    </row>
    <row r="652" spans="641:657" x14ac:dyDescent="0.2">
      <c r="YB652" t="s">
        <v>1467</v>
      </c>
      <c r="YC652">
        <v>2.78</v>
      </c>
    </row>
    <row r="653" spans="641:657" x14ac:dyDescent="0.2">
      <c r="YC653" t="s">
        <v>1467</v>
      </c>
      <c r="YD653">
        <v>2.78</v>
      </c>
    </row>
    <row r="654" spans="641:657" x14ac:dyDescent="0.2">
      <c r="YD654" t="s">
        <v>1467</v>
      </c>
      <c r="YE654">
        <v>2.78</v>
      </c>
    </row>
    <row r="655" spans="641:657" x14ac:dyDescent="0.2">
      <c r="YE655" t="s">
        <v>1467</v>
      </c>
      <c r="YF655">
        <v>2.78</v>
      </c>
    </row>
    <row r="656" spans="641:657" x14ac:dyDescent="0.2">
      <c r="YF656" t="s">
        <v>1467</v>
      </c>
      <c r="YG656">
        <v>2.78</v>
      </c>
    </row>
    <row r="657" spans="657:676" x14ac:dyDescent="0.2">
      <c r="YG657" t="s">
        <v>1467</v>
      </c>
      <c r="YH657">
        <v>2.78</v>
      </c>
    </row>
    <row r="658" spans="657:676" x14ac:dyDescent="0.2">
      <c r="YH658" t="s">
        <v>1467</v>
      </c>
      <c r="YI658">
        <v>2.78</v>
      </c>
      <c r="YL658">
        <v>2.78</v>
      </c>
    </row>
    <row r="659" spans="657:676" x14ac:dyDescent="0.2">
      <c r="YI659" t="s">
        <v>1467</v>
      </c>
      <c r="YJ659">
        <v>2.78</v>
      </c>
      <c r="YM659">
        <v>2.78</v>
      </c>
    </row>
    <row r="660" spans="657:676" x14ac:dyDescent="0.2">
      <c r="YJ660" t="s">
        <v>1467</v>
      </c>
      <c r="YK660">
        <v>2.78</v>
      </c>
      <c r="YN660">
        <v>2.78</v>
      </c>
    </row>
    <row r="661" spans="657:676" x14ac:dyDescent="0.2">
      <c r="YK661" t="s">
        <v>1467</v>
      </c>
      <c r="YO661">
        <v>2.78</v>
      </c>
    </row>
    <row r="662" spans="657:676" x14ac:dyDescent="0.2">
      <c r="YL662" t="s">
        <v>1467</v>
      </c>
      <c r="YM662">
        <v>2.78</v>
      </c>
      <c r="YP662">
        <v>2.78</v>
      </c>
    </row>
    <row r="663" spans="657:676" x14ac:dyDescent="0.2">
      <c r="YM663" t="s">
        <v>1467</v>
      </c>
      <c r="YN663">
        <v>2.78</v>
      </c>
      <c r="YQ663">
        <v>2.78</v>
      </c>
    </row>
    <row r="664" spans="657:676" x14ac:dyDescent="0.2">
      <c r="YN664" t="s">
        <v>1467</v>
      </c>
      <c r="YO664">
        <v>2.78</v>
      </c>
      <c r="YR664">
        <v>2.78</v>
      </c>
    </row>
    <row r="665" spans="657:676" x14ac:dyDescent="0.2">
      <c r="YO665" t="s">
        <v>1467</v>
      </c>
      <c r="YP665">
        <v>2.78</v>
      </c>
      <c r="YS665">
        <v>2.78</v>
      </c>
    </row>
    <row r="666" spans="657:676" x14ac:dyDescent="0.2">
      <c r="YP666" t="s">
        <v>1467</v>
      </c>
      <c r="YQ666">
        <v>2.78</v>
      </c>
      <c r="YT666">
        <v>2.78</v>
      </c>
    </row>
    <row r="667" spans="657:676" x14ac:dyDescent="0.2">
      <c r="YQ667" t="s">
        <v>1467</v>
      </c>
      <c r="YR667">
        <v>2.78</v>
      </c>
      <c r="YU667">
        <v>2.78</v>
      </c>
    </row>
    <row r="668" spans="657:676" x14ac:dyDescent="0.2">
      <c r="YR668" t="s">
        <v>1467</v>
      </c>
      <c r="YS668">
        <v>2.78</v>
      </c>
      <c r="YV668">
        <v>2.78</v>
      </c>
    </row>
    <row r="669" spans="657:676" x14ac:dyDescent="0.2">
      <c r="YS669" t="s">
        <v>1467</v>
      </c>
      <c r="YT669">
        <v>2.78</v>
      </c>
      <c r="YW669">
        <v>2.78</v>
      </c>
    </row>
    <row r="670" spans="657:676" x14ac:dyDescent="0.2">
      <c r="YT670" t="s">
        <v>1467</v>
      </c>
      <c r="YU670">
        <v>2.78</v>
      </c>
      <c r="YX670">
        <v>2.78</v>
      </c>
    </row>
    <row r="671" spans="657:676" x14ac:dyDescent="0.2">
      <c r="YU671" t="s">
        <v>1467</v>
      </c>
      <c r="YV671">
        <v>2.78</v>
      </c>
      <c r="YY671">
        <v>2.78</v>
      </c>
    </row>
    <row r="672" spans="657:676" x14ac:dyDescent="0.2">
      <c r="YV672" t="s">
        <v>1467</v>
      </c>
      <c r="YW672">
        <v>2.78</v>
      </c>
      <c r="YZ672">
        <v>2.78</v>
      </c>
    </row>
    <row r="673" spans="673:678" x14ac:dyDescent="0.2">
      <c r="YW673" t="s">
        <v>1467</v>
      </c>
      <c r="YX673">
        <v>2.78</v>
      </c>
      <c r="ZA673">
        <v>2.78</v>
      </c>
    </row>
    <row r="674" spans="673:678" x14ac:dyDescent="0.2">
      <c r="YX674" t="s">
        <v>1467</v>
      </c>
      <c r="YY674">
        <v>2.78</v>
      </c>
    </row>
    <row r="675" spans="673:678" x14ac:dyDescent="0.2">
      <c r="YY675" t="s">
        <v>1467</v>
      </c>
      <c r="YZ675">
        <v>2.78</v>
      </c>
    </row>
    <row r="676" spans="673:678" x14ac:dyDescent="0.2">
      <c r="YZ676" t="s">
        <v>1467</v>
      </c>
      <c r="ZA676">
        <v>2.78</v>
      </c>
    </row>
    <row r="677" spans="673:678" x14ac:dyDescent="0.2">
      <c r="ZA677" t="s">
        <v>1467</v>
      </c>
      <c r="ZB677">
        <v>2.78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14"/>
  <sheetViews>
    <sheetView topLeftCell="A14" zoomScale="40" zoomScaleNormal="40" workbookViewId="0">
      <selection activeCell="A38" sqref="A38"/>
    </sheetView>
  </sheetViews>
  <sheetFormatPr baseColWidth="10" defaultRowHeight="12.75" x14ac:dyDescent="0.2"/>
  <cols>
    <col min="1" max="1" width="255.7109375" style="9" bestFit="1" customWidth="1"/>
  </cols>
  <sheetData>
    <row r="1" spans="1:1" ht="409.5" x14ac:dyDescent="0.2">
      <c r="A1" s="9" t="s">
        <v>3266</v>
      </c>
    </row>
    <row r="2" spans="1:1" ht="409.5" x14ac:dyDescent="0.2">
      <c r="A2" s="9" t="s">
        <v>3267</v>
      </c>
    </row>
    <row r="3" spans="1:1" ht="409.5" x14ac:dyDescent="0.2">
      <c r="A3" s="9" t="s">
        <v>3268</v>
      </c>
    </row>
    <row r="4" spans="1:1" ht="409.5" x14ac:dyDescent="0.2">
      <c r="A4" s="9" t="s">
        <v>3269</v>
      </c>
    </row>
    <row r="5" spans="1:1" ht="409.5" x14ac:dyDescent="0.2">
      <c r="A5" s="9" t="s">
        <v>3270</v>
      </c>
    </row>
    <row r="6" spans="1:1" ht="409.5" x14ac:dyDescent="0.2">
      <c r="A6" s="9" t="s">
        <v>3271</v>
      </c>
    </row>
    <row r="7" spans="1:1" ht="409.5" x14ac:dyDescent="0.2">
      <c r="A7" s="9" t="s">
        <v>3272</v>
      </c>
    </row>
    <row r="8" spans="1:1" ht="409.5" x14ac:dyDescent="0.2">
      <c r="A8" s="9" t="s">
        <v>3273</v>
      </c>
    </row>
    <row r="9" spans="1:1" ht="409.5" x14ac:dyDescent="0.2">
      <c r="A9" s="9" t="s">
        <v>3274</v>
      </c>
    </row>
    <row r="10" spans="1:1" ht="409.5" x14ac:dyDescent="0.2">
      <c r="A10" s="9" t="s">
        <v>3275</v>
      </c>
    </row>
    <row r="11" spans="1:1" ht="409.5" x14ac:dyDescent="0.2">
      <c r="A11" s="9" t="s">
        <v>3276</v>
      </c>
    </row>
    <row r="12" spans="1:1" ht="409.5" x14ac:dyDescent="0.2">
      <c r="A12" s="9" t="s">
        <v>3277</v>
      </c>
    </row>
    <row r="13" spans="1:1" ht="409.5" x14ac:dyDescent="0.2">
      <c r="A13" s="9" t="s">
        <v>3278</v>
      </c>
    </row>
    <row r="14" spans="1:1" ht="409.5" x14ac:dyDescent="0.2">
      <c r="A14" s="9" t="s">
        <v>3279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2"/>
  <sheetViews>
    <sheetView zoomScaleNormal="100" workbookViewId="0">
      <selection activeCell="H39" sqref="H39"/>
    </sheetView>
  </sheetViews>
  <sheetFormatPr baseColWidth="10" defaultRowHeight="12.75" x14ac:dyDescent="0.2"/>
  <cols>
    <col min="1" max="1" width="16.42578125" bestFit="1" customWidth="1"/>
    <col min="2" max="3" width="20" style="3" bestFit="1" customWidth="1"/>
    <col min="4" max="4" width="14" style="3" bestFit="1" customWidth="1"/>
    <col min="5" max="5" width="22.42578125" style="3" bestFit="1" customWidth="1"/>
    <col min="6" max="6" width="27.140625" style="3" bestFit="1" customWidth="1"/>
    <col min="7" max="7" width="32.5703125" style="3" bestFit="1" customWidth="1"/>
    <col min="8" max="8" width="31.140625" style="3" bestFit="1" customWidth="1"/>
  </cols>
  <sheetData>
    <row r="1" spans="1:9" x14ac:dyDescent="0.2">
      <c r="A1" s="5" t="s">
        <v>2</v>
      </c>
      <c r="B1" s="6" t="s">
        <v>1368</v>
      </c>
      <c r="C1" s="6" t="s">
        <v>1369</v>
      </c>
      <c r="D1" s="6" t="s">
        <v>1948</v>
      </c>
      <c r="E1" s="13" t="s">
        <v>1949</v>
      </c>
      <c r="F1" s="13" t="s">
        <v>1950</v>
      </c>
      <c r="G1" s="14" t="s">
        <v>2341</v>
      </c>
      <c r="H1" s="14" t="s">
        <v>2342</v>
      </c>
      <c r="I1" s="14" t="s">
        <v>2320</v>
      </c>
    </row>
    <row r="2" spans="1:9" x14ac:dyDescent="0.2">
      <c r="A2" t="s">
        <v>91</v>
      </c>
      <c r="B2" s="3">
        <v>25</v>
      </c>
      <c r="C2" s="3">
        <f>COUNTIF(DETAILED_STOPS!C:C,CHECKS!A2)</f>
        <v>25</v>
      </c>
      <c r="D2" s="3" t="b">
        <f>(B2=C2)</f>
        <v>1</v>
      </c>
      <c r="E2" s="3">
        <v>36</v>
      </c>
      <c r="F2" s="3">
        <f>ROUND(E2/(B2-1),2)</f>
        <v>1.5</v>
      </c>
      <c r="G2" s="3">
        <v>4</v>
      </c>
      <c r="H2" s="3">
        <v>7</v>
      </c>
      <c r="I2" t="s">
        <v>2321</v>
      </c>
    </row>
    <row r="3" spans="1:9" x14ac:dyDescent="0.2">
      <c r="A3" t="s">
        <v>92</v>
      </c>
      <c r="B3" s="3">
        <v>25</v>
      </c>
      <c r="C3" s="3">
        <f>COUNTIF(DETAILED_STOPS!C:C,CHECKS!A3)</f>
        <v>25</v>
      </c>
      <c r="D3" s="3" t="b">
        <f t="shared" ref="D3:D17" si="0">(B3=C3)</f>
        <v>1</v>
      </c>
      <c r="E3" s="3">
        <v>33</v>
      </c>
      <c r="F3" s="3">
        <f t="shared" ref="F3:F27" si="1">ROUND(E3/(B3-1),2)</f>
        <v>1.38</v>
      </c>
      <c r="G3" s="3">
        <v>4</v>
      </c>
      <c r="H3" s="3">
        <v>7</v>
      </c>
      <c r="I3" t="s">
        <v>2322</v>
      </c>
    </row>
    <row r="4" spans="1:9" x14ac:dyDescent="0.2">
      <c r="A4" t="s">
        <v>93</v>
      </c>
      <c r="B4" s="3">
        <v>25</v>
      </c>
      <c r="C4" s="3">
        <f>COUNTIF(DETAILED_STOPS!C:C,CHECKS!A4)</f>
        <v>25</v>
      </c>
      <c r="D4" s="3" t="b">
        <f t="shared" si="0"/>
        <v>1</v>
      </c>
      <c r="E4" s="3">
        <v>31</v>
      </c>
      <c r="F4" s="3">
        <f t="shared" si="1"/>
        <v>1.29</v>
      </c>
      <c r="G4" s="3">
        <v>4</v>
      </c>
      <c r="H4" s="3">
        <v>7</v>
      </c>
      <c r="I4" t="s">
        <v>2330</v>
      </c>
    </row>
    <row r="5" spans="1:9" x14ac:dyDescent="0.2">
      <c r="A5" t="s">
        <v>262</v>
      </c>
      <c r="B5" s="3">
        <v>4</v>
      </c>
      <c r="C5" s="3">
        <f>COUNTIF(DETAILED_STOPS!C:C,CHECKS!A5)</f>
        <v>4</v>
      </c>
      <c r="D5" s="3" t="b">
        <f t="shared" si="0"/>
        <v>1</v>
      </c>
      <c r="E5" s="3">
        <v>4</v>
      </c>
      <c r="F5" s="3">
        <f t="shared" si="1"/>
        <v>1.33</v>
      </c>
      <c r="G5" s="3">
        <v>4</v>
      </c>
      <c r="H5" s="3">
        <v>7</v>
      </c>
      <c r="I5" t="s">
        <v>2333</v>
      </c>
    </row>
    <row r="6" spans="1:9" x14ac:dyDescent="0.2">
      <c r="A6" t="s">
        <v>94</v>
      </c>
      <c r="B6" s="3">
        <v>27</v>
      </c>
      <c r="C6" s="3">
        <f>COUNTIF(DETAILED_STOPS!C:C,CHECKS!A6)</f>
        <v>27</v>
      </c>
      <c r="D6" s="3" t="b">
        <f t="shared" si="0"/>
        <v>1</v>
      </c>
      <c r="E6" s="3">
        <v>29</v>
      </c>
      <c r="F6" s="3">
        <f t="shared" si="1"/>
        <v>1.1200000000000001</v>
      </c>
      <c r="G6" s="3">
        <v>4</v>
      </c>
      <c r="H6" s="3">
        <v>7</v>
      </c>
      <c r="I6" t="s">
        <v>2332</v>
      </c>
    </row>
    <row r="7" spans="1:9" x14ac:dyDescent="0.2">
      <c r="A7" t="s">
        <v>402</v>
      </c>
      <c r="B7" s="3">
        <v>22</v>
      </c>
      <c r="C7" s="3">
        <f>COUNTIF(DETAILED_STOPS!C:C,CHECKS!A7)</f>
        <v>22</v>
      </c>
      <c r="D7" s="3" t="b">
        <f t="shared" si="0"/>
        <v>1</v>
      </c>
      <c r="E7" s="3">
        <v>34</v>
      </c>
      <c r="F7" s="3">
        <f t="shared" si="1"/>
        <v>1.62</v>
      </c>
      <c r="G7" s="3">
        <v>4</v>
      </c>
      <c r="H7" s="3">
        <v>7</v>
      </c>
      <c r="I7" t="s">
        <v>2331</v>
      </c>
    </row>
    <row r="8" spans="1:9" x14ac:dyDescent="0.2">
      <c r="A8" t="s">
        <v>419</v>
      </c>
      <c r="B8" s="3">
        <v>28</v>
      </c>
      <c r="C8" s="3">
        <f>COUNTIF(DETAILED_STOPS!C:C,CHECKS!A8)</f>
        <v>28</v>
      </c>
      <c r="D8" s="3" t="b">
        <f t="shared" si="0"/>
        <v>1</v>
      </c>
      <c r="E8" s="3">
        <v>31</v>
      </c>
      <c r="F8" s="3">
        <f t="shared" si="1"/>
        <v>1.1499999999999999</v>
      </c>
      <c r="G8" s="3">
        <v>4</v>
      </c>
      <c r="H8" s="3">
        <v>7</v>
      </c>
      <c r="I8" t="s">
        <v>2328</v>
      </c>
    </row>
    <row r="9" spans="1:9" x14ac:dyDescent="0.2">
      <c r="A9" t="s">
        <v>493</v>
      </c>
      <c r="B9" s="3">
        <v>38</v>
      </c>
      <c r="C9" s="3">
        <f>COUNTIF(DETAILED_STOPS!C:C,CHECKS!A9)</f>
        <v>38</v>
      </c>
      <c r="D9" s="3" t="b">
        <f t="shared" si="0"/>
        <v>1</v>
      </c>
      <c r="E9" s="3">
        <v>55</v>
      </c>
      <c r="F9" s="3">
        <f t="shared" si="1"/>
        <v>1.49</v>
      </c>
      <c r="G9" s="3">
        <v>4</v>
      </c>
      <c r="H9" s="3">
        <v>7</v>
      </c>
      <c r="I9" t="s">
        <v>2336</v>
      </c>
    </row>
    <row r="10" spans="1:9" x14ac:dyDescent="0.2">
      <c r="A10" t="s">
        <v>675</v>
      </c>
      <c r="B10" s="3">
        <v>8</v>
      </c>
      <c r="C10" s="3">
        <f>COUNTIF(DETAILED_STOPS!C:C,CHECKS!A10)</f>
        <v>8</v>
      </c>
      <c r="D10" s="3" t="b">
        <f t="shared" si="0"/>
        <v>1</v>
      </c>
      <c r="E10" s="3">
        <v>9</v>
      </c>
      <c r="F10" s="3">
        <f t="shared" si="1"/>
        <v>1.29</v>
      </c>
      <c r="G10" s="3">
        <v>4</v>
      </c>
      <c r="H10" s="3">
        <v>7</v>
      </c>
      <c r="I10" t="s">
        <v>2328</v>
      </c>
    </row>
    <row r="11" spans="1:9" x14ac:dyDescent="0.2">
      <c r="A11" t="s">
        <v>789</v>
      </c>
      <c r="B11" s="3">
        <v>38</v>
      </c>
      <c r="C11" s="3">
        <f>COUNTIF(DETAILED_STOPS!C:C,CHECKS!A11)</f>
        <v>38</v>
      </c>
      <c r="D11" s="3" t="b">
        <f t="shared" si="0"/>
        <v>1</v>
      </c>
      <c r="E11" s="3">
        <v>52</v>
      </c>
      <c r="F11" s="3">
        <f t="shared" si="1"/>
        <v>1.41</v>
      </c>
      <c r="G11" s="3">
        <v>4</v>
      </c>
      <c r="H11" s="3">
        <v>7</v>
      </c>
      <c r="I11" t="s">
        <v>2326</v>
      </c>
    </row>
    <row r="12" spans="1:9" x14ac:dyDescent="0.2">
      <c r="A12" t="s">
        <v>904</v>
      </c>
      <c r="B12" s="3">
        <v>37</v>
      </c>
      <c r="C12" s="3">
        <f>COUNTIF(DETAILED_STOPS!C:C,CHECKS!A12)</f>
        <v>37</v>
      </c>
      <c r="D12" s="3" t="b">
        <f t="shared" si="0"/>
        <v>1</v>
      </c>
      <c r="E12" s="3">
        <v>52</v>
      </c>
      <c r="F12" s="3">
        <f t="shared" si="1"/>
        <v>1.44</v>
      </c>
      <c r="G12" s="3">
        <v>4</v>
      </c>
      <c r="H12" s="3">
        <v>7</v>
      </c>
      <c r="I12" t="s">
        <v>2323</v>
      </c>
    </row>
    <row r="13" spans="1:9" x14ac:dyDescent="0.2">
      <c r="A13" t="s">
        <v>1050</v>
      </c>
      <c r="B13" s="3">
        <v>23</v>
      </c>
      <c r="C13" s="3">
        <f>COUNTIF(DETAILED_STOPS!C:C,CHECKS!A13)</f>
        <v>23</v>
      </c>
      <c r="D13" s="3" t="b">
        <f t="shared" si="0"/>
        <v>1</v>
      </c>
      <c r="E13" s="3">
        <v>32</v>
      </c>
      <c r="F13" s="3">
        <f t="shared" si="1"/>
        <v>1.45</v>
      </c>
      <c r="G13" s="3">
        <v>4</v>
      </c>
      <c r="H13" s="3">
        <v>7</v>
      </c>
      <c r="I13" t="s">
        <v>2329</v>
      </c>
    </row>
    <row r="14" spans="1:9" x14ac:dyDescent="0.2">
      <c r="A14" t="s">
        <v>1086</v>
      </c>
      <c r="B14" s="3">
        <v>13</v>
      </c>
      <c r="C14" s="3">
        <f>COUNTIF(DETAILED_STOPS!C:C,CHECKS!A14)</f>
        <v>13</v>
      </c>
      <c r="D14" s="3" t="b">
        <f t="shared" si="0"/>
        <v>1</v>
      </c>
      <c r="E14" s="3">
        <v>15</v>
      </c>
      <c r="F14" s="3">
        <f t="shared" si="1"/>
        <v>1.25</v>
      </c>
      <c r="G14" s="3">
        <v>4</v>
      </c>
      <c r="H14" s="3">
        <v>7</v>
      </c>
      <c r="I14" t="s">
        <v>2327</v>
      </c>
    </row>
    <row r="15" spans="1:9" x14ac:dyDescent="0.2">
      <c r="A15" t="s">
        <v>1165</v>
      </c>
      <c r="B15" s="3">
        <v>29</v>
      </c>
      <c r="C15" s="3">
        <f>COUNTIF(DETAILED_STOPS!C:C,CHECKS!A15)</f>
        <v>29</v>
      </c>
      <c r="D15" s="3" t="b">
        <f t="shared" si="0"/>
        <v>1</v>
      </c>
      <c r="E15" s="3">
        <v>38</v>
      </c>
      <c r="F15" s="3">
        <f t="shared" si="1"/>
        <v>1.36</v>
      </c>
      <c r="G15" s="3">
        <v>4</v>
      </c>
      <c r="H15" s="3">
        <v>7</v>
      </c>
      <c r="I15" t="s">
        <v>2335</v>
      </c>
    </row>
    <row r="16" spans="1:9" x14ac:dyDescent="0.2">
      <c r="A16" t="s">
        <v>1237</v>
      </c>
      <c r="B16" s="3">
        <v>32</v>
      </c>
      <c r="C16" s="3">
        <f>COUNTIF(DETAILED_STOPS!C:C,CHECKS!A16)</f>
        <v>32</v>
      </c>
      <c r="D16" s="3" t="b">
        <f t="shared" si="0"/>
        <v>1</v>
      </c>
      <c r="E16" s="3">
        <v>48</v>
      </c>
      <c r="F16" s="3">
        <f t="shared" si="1"/>
        <v>1.55</v>
      </c>
      <c r="G16" s="3">
        <v>4</v>
      </c>
      <c r="H16" s="3">
        <v>7</v>
      </c>
      <c r="I16" t="s">
        <v>2332</v>
      </c>
    </row>
    <row r="17" spans="1:9" x14ac:dyDescent="0.2">
      <c r="A17" t="s">
        <v>1268</v>
      </c>
      <c r="B17" s="3">
        <v>9</v>
      </c>
      <c r="C17" s="3">
        <f>COUNTIF(DETAILED_STOPS!C:C,CHECKS!A17)</f>
        <v>9</v>
      </c>
      <c r="D17" s="3" t="b">
        <f t="shared" si="0"/>
        <v>1</v>
      </c>
      <c r="E17" s="3">
        <v>15</v>
      </c>
      <c r="F17" s="3">
        <f t="shared" si="1"/>
        <v>1.88</v>
      </c>
      <c r="G17" s="3">
        <v>4</v>
      </c>
      <c r="H17" s="3">
        <v>7</v>
      </c>
      <c r="I17" t="s">
        <v>2325</v>
      </c>
    </row>
    <row r="18" spans="1:9" x14ac:dyDescent="0.2">
      <c r="A18" t="s">
        <v>1525</v>
      </c>
      <c r="B18" s="3">
        <v>36</v>
      </c>
      <c r="C18" s="3">
        <f>COUNTIF(DETAILED_STOPS!C:C,CHECKS!A18)</f>
        <v>36</v>
      </c>
      <c r="D18" s="3" t="b">
        <f t="shared" ref="D18:D27" si="2">(B18=C18)</f>
        <v>1</v>
      </c>
      <c r="E18" s="3">
        <v>64</v>
      </c>
      <c r="F18" s="3">
        <f t="shared" si="1"/>
        <v>1.83</v>
      </c>
      <c r="G18" s="3">
        <v>4</v>
      </c>
      <c r="H18" s="3">
        <v>7</v>
      </c>
      <c r="I18" t="s">
        <v>2322</v>
      </c>
    </row>
    <row r="19" spans="1:9" x14ac:dyDescent="0.2">
      <c r="A19" t="s">
        <v>1650</v>
      </c>
      <c r="B19" s="3">
        <v>24</v>
      </c>
      <c r="C19" s="3">
        <f>COUNTIF(DETAILED_STOPS!C:C,CHECKS!A19)</f>
        <v>24</v>
      </c>
      <c r="D19" s="3" t="b">
        <f t="shared" si="2"/>
        <v>1</v>
      </c>
      <c r="E19" s="3">
        <v>45</v>
      </c>
      <c r="F19" s="3">
        <f t="shared" si="1"/>
        <v>1.96</v>
      </c>
      <c r="G19" s="3">
        <v>4</v>
      </c>
      <c r="H19" s="3">
        <v>7</v>
      </c>
      <c r="I19" t="s">
        <v>2332</v>
      </c>
    </row>
    <row r="20" spans="1:9" x14ac:dyDescent="0.2">
      <c r="A20" t="s">
        <v>1712</v>
      </c>
      <c r="B20" s="3">
        <v>25</v>
      </c>
      <c r="C20" s="3">
        <f>COUNTIF(DETAILED_STOPS!C:C,CHECKS!A20)</f>
        <v>25</v>
      </c>
      <c r="D20" s="3" t="b">
        <f t="shared" si="2"/>
        <v>1</v>
      </c>
      <c r="E20" s="3">
        <v>42</v>
      </c>
      <c r="F20" s="3">
        <f t="shared" si="1"/>
        <v>1.75</v>
      </c>
      <c r="G20" s="3">
        <v>4</v>
      </c>
      <c r="H20" s="3">
        <v>7</v>
      </c>
      <c r="I20" t="s">
        <v>2331</v>
      </c>
    </row>
    <row r="21" spans="1:9" x14ac:dyDescent="0.2">
      <c r="A21" t="s">
        <v>1761</v>
      </c>
      <c r="B21" s="3">
        <v>26</v>
      </c>
      <c r="C21" s="3">
        <f>COUNTIF(DETAILED_STOPS!C:C,CHECKS!A21)</f>
        <v>26</v>
      </c>
      <c r="D21" s="3" t="b">
        <f t="shared" si="2"/>
        <v>1</v>
      </c>
      <c r="E21" s="3">
        <v>50</v>
      </c>
      <c r="F21" s="3">
        <f t="shared" si="1"/>
        <v>2</v>
      </c>
      <c r="G21" s="3">
        <v>4</v>
      </c>
      <c r="H21" s="3">
        <v>7</v>
      </c>
      <c r="I21" t="s">
        <v>2334</v>
      </c>
    </row>
    <row r="22" spans="1:9" x14ac:dyDescent="0.2">
      <c r="A22" t="s">
        <v>1942</v>
      </c>
      <c r="B22" s="3">
        <v>11</v>
      </c>
      <c r="C22" s="3">
        <f>COUNTIF(DETAILED_STOPS!C:C,CHECKS!A22)</f>
        <v>11</v>
      </c>
      <c r="D22" s="3" t="b">
        <f t="shared" si="2"/>
        <v>1</v>
      </c>
      <c r="E22" s="3">
        <v>20</v>
      </c>
      <c r="F22" s="3">
        <f t="shared" si="1"/>
        <v>2</v>
      </c>
      <c r="G22" s="3">
        <v>4</v>
      </c>
      <c r="H22" s="3">
        <v>7</v>
      </c>
      <c r="I22" t="s">
        <v>2337</v>
      </c>
    </row>
    <row r="23" spans="1:9" x14ac:dyDescent="0.2">
      <c r="A23" t="s">
        <v>1943</v>
      </c>
      <c r="B23" s="3">
        <v>16</v>
      </c>
      <c r="C23" s="3">
        <f>COUNTIF(DETAILED_STOPS!C:C,CHECKS!A23)</f>
        <v>16</v>
      </c>
      <c r="D23" s="3" t="b">
        <f t="shared" si="2"/>
        <v>1</v>
      </c>
      <c r="E23" s="3">
        <v>22</v>
      </c>
      <c r="F23" s="3">
        <f t="shared" si="1"/>
        <v>1.47</v>
      </c>
      <c r="G23" s="3">
        <v>4</v>
      </c>
      <c r="H23" s="3">
        <v>7</v>
      </c>
      <c r="I23" t="s">
        <v>2325</v>
      </c>
    </row>
    <row r="24" spans="1:9" x14ac:dyDescent="0.2">
      <c r="A24" t="s">
        <v>1944</v>
      </c>
      <c r="B24" s="3">
        <v>21</v>
      </c>
      <c r="C24" s="3">
        <f>COUNTIF(DETAILED_STOPS!C:C,CHECKS!A24)</f>
        <v>21</v>
      </c>
      <c r="D24" s="3" t="b">
        <f t="shared" si="2"/>
        <v>1</v>
      </c>
      <c r="E24" s="3">
        <v>40</v>
      </c>
      <c r="F24" s="3">
        <f t="shared" si="1"/>
        <v>2</v>
      </c>
      <c r="G24" s="3">
        <v>4</v>
      </c>
      <c r="H24" s="3">
        <v>7</v>
      </c>
      <c r="I24" t="s">
        <v>2324</v>
      </c>
    </row>
    <row r="25" spans="1:9" x14ac:dyDescent="0.2">
      <c r="A25" t="s">
        <v>1945</v>
      </c>
      <c r="B25" s="3">
        <v>18</v>
      </c>
      <c r="C25" s="3">
        <f>COUNTIF(DETAILED_STOPS!C:C,CHECKS!A25)</f>
        <v>18</v>
      </c>
      <c r="D25" s="3" t="b">
        <f t="shared" si="2"/>
        <v>1</v>
      </c>
      <c r="E25" s="3">
        <v>31</v>
      </c>
      <c r="F25" s="3">
        <f t="shared" si="1"/>
        <v>1.82</v>
      </c>
      <c r="G25" s="3">
        <v>4</v>
      </c>
      <c r="H25" s="3">
        <v>7</v>
      </c>
      <c r="I25" t="s">
        <v>2327</v>
      </c>
    </row>
    <row r="26" spans="1:9" x14ac:dyDescent="0.2">
      <c r="A26" t="s">
        <v>1947</v>
      </c>
      <c r="B26" s="3">
        <v>17</v>
      </c>
      <c r="C26" s="3">
        <f>COUNTIF(DETAILED_STOPS!C:C,CHECKS!A26)</f>
        <v>17</v>
      </c>
      <c r="D26" s="3" t="b">
        <f t="shared" si="2"/>
        <v>1</v>
      </c>
      <c r="E26" s="3">
        <v>32</v>
      </c>
      <c r="F26" s="3">
        <f t="shared" si="1"/>
        <v>2</v>
      </c>
      <c r="G26" s="3">
        <v>4</v>
      </c>
      <c r="H26" s="3">
        <v>7</v>
      </c>
      <c r="I26" t="s">
        <v>2330</v>
      </c>
    </row>
    <row r="27" spans="1:9" x14ac:dyDescent="0.2">
      <c r="A27" t="s">
        <v>1946</v>
      </c>
      <c r="B27" s="3">
        <v>7</v>
      </c>
      <c r="C27" s="3">
        <f>COUNTIF(DETAILED_STOPS!C:C,CHECKS!A27)</f>
        <v>7</v>
      </c>
      <c r="D27" s="3" t="b">
        <f t="shared" si="2"/>
        <v>1</v>
      </c>
      <c r="E27" s="3">
        <v>15</v>
      </c>
      <c r="F27" s="3">
        <f t="shared" si="1"/>
        <v>2.5</v>
      </c>
      <c r="G27" s="3">
        <v>4</v>
      </c>
      <c r="H27" s="3">
        <v>7</v>
      </c>
      <c r="I27" t="s">
        <v>2338</v>
      </c>
    </row>
    <row r="28" spans="1:9" x14ac:dyDescent="0.2">
      <c r="A28" t="s">
        <v>2344</v>
      </c>
      <c r="B28" s="3">
        <v>46</v>
      </c>
      <c r="C28" s="3">
        <f>COUNTIF(DETAILED_STOPS!C:C,CHECKS!A28)</f>
        <v>46</v>
      </c>
      <c r="D28" s="3" t="b">
        <f t="shared" ref="D28" si="3">(B28=C28)</f>
        <v>1</v>
      </c>
      <c r="E28" s="3">
        <v>140</v>
      </c>
      <c r="F28" s="3">
        <f t="shared" ref="F28:F32" si="4">ROUND(E28/(B28-1),2)</f>
        <v>3.11</v>
      </c>
      <c r="G28" s="3">
        <v>4</v>
      </c>
      <c r="H28" s="3">
        <v>7</v>
      </c>
      <c r="I28" t="s">
        <v>2324</v>
      </c>
    </row>
    <row r="29" spans="1:9" x14ac:dyDescent="0.2">
      <c r="A29" t="s">
        <v>2476</v>
      </c>
      <c r="B29" s="3">
        <v>47</v>
      </c>
      <c r="C29" s="3">
        <f>COUNTIF(DETAILED_STOPS!C:C,CHECKS!A29)</f>
        <v>47</v>
      </c>
      <c r="D29" s="3" t="b">
        <f t="shared" ref="D29:D32" si="5">(B29=C29)</f>
        <v>1</v>
      </c>
      <c r="E29" s="3">
        <v>128</v>
      </c>
      <c r="F29" s="3">
        <f t="shared" si="4"/>
        <v>2.78</v>
      </c>
      <c r="G29" s="3">
        <v>4</v>
      </c>
      <c r="H29" s="3">
        <v>7</v>
      </c>
      <c r="I29" t="s">
        <v>2474</v>
      </c>
    </row>
    <row r="30" spans="1:9" x14ac:dyDescent="0.2">
      <c r="A30" t="s">
        <v>2477</v>
      </c>
      <c r="C30" s="3">
        <f>COUNTIF(DETAILED_STOPS!C:C,CHECKS!A30)</f>
        <v>0</v>
      </c>
      <c r="D30" s="3" t="b">
        <f t="shared" si="5"/>
        <v>1</v>
      </c>
      <c r="F30" s="3">
        <f t="shared" si="4"/>
        <v>0</v>
      </c>
      <c r="G30" s="3">
        <v>4</v>
      </c>
      <c r="H30" s="3">
        <v>7</v>
      </c>
      <c r="I30" t="s">
        <v>2329</v>
      </c>
    </row>
    <row r="31" spans="1:9" x14ac:dyDescent="0.2">
      <c r="A31" t="s">
        <v>2478</v>
      </c>
      <c r="C31" s="3">
        <f>COUNTIF(DETAILED_STOPS!C:C,CHECKS!A31)</f>
        <v>0</v>
      </c>
      <c r="D31" s="3" t="b">
        <f t="shared" si="5"/>
        <v>1</v>
      </c>
      <c r="F31" s="3">
        <f t="shared" si="4"/>
        <v>0</v>
      </c>
      <c r="G31" s="3">
        <v>4</v>
      </c>
      <c r="H31" s="3">
        <v>7</v>
      </c>
      <c r="I31" t="s">
        <v>2334</v>
      </c>
    </row>
    <row r="32" spans="1:9" x14ac:dyDescent="0.2">
      <c r="A32" t="s">
        <v>2479</v>
      </c>
      <c r="C32" s="3">
        <f>COUNTIF(DETAILED_STOPS!C:C,CHECKS!A32)</f>
        <v>0</v>
      </c>
      <c r="D32" s="3" t="b">
        <f t="shared" si="5"/>
        <v>1</v>
      </c>
      <c r="F32" s="3">
        <f t="shared" si="4"/>
        <v>0</v>
      </c>
      <c r="G32" s="3">
        <v>4</v>
      </c>
      <c r="H32" s="3">
        <v>7</v>
      </c>
      <c r="I32" t="s">
        <v>2475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2.75" x14ac:dyDescent="0.2"/>
  <sheetData>
    <row r="1" spans="1:1" x14ac:dyDescent="0.2">
      <c r="A1" s="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DETAILED_STOPS</vt:lpstr>
      <vt:lpstr>EXPORTED</vt:lpstr>
      <vt:lpstr>LINK_COUPLES</vt:lpstr>
      <vt:lpstr>GROUPED_STOPS</vt:lpstr>
      <vt:lpstr>ADJACENT_MATRIX</vt:lpstr>
      <vt:lpstr>ADJACENT_MATRIX_REDUCED</vt:lpstr>
      <vt:lpstr>CHECKS</vt:lpstr>
      <vt:lpstr>UTILS</vt:lpstr>
    </vt:vector>
  </TitlesOfParts>
  <Company>MBDAF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PALO.Alexandre</dc:creator>
  <cp:lastModifiedBy>PALO.Alexandre</cp:lastModifiedBy>
  <dcterms:created xsi:type="dcterms:W3CDTF">2019-01-18T14:58:10Z</dcterms:created>
  <dcterms:modified xsi:type="dcterms:W3CDTF">2019-04-26T16:05:06Z</dcterms:modified>
</cp:coreProperties>
</file>